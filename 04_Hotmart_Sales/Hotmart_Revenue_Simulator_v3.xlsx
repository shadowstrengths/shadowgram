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가정값" sheetId="1" state="visible" r:id="rId3"/>
    <sheet name="월별 성장" sheetId="2" state="visible" r:id="rId4"/>
    <sheet name="시나리오 비교" sheetId="3" state="visible" r:id="rId5"/>
    <sheet name="유형별 대시보드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<sst xmlns="http://schemas.openxmlformats.org/spreadsheetml/2006/main" count="172" uniqueCount="163">
  <si>
    <r>
      <rPr>
        <b val="true"/>
        <sz val="13"/>
        <color rgb="FFFFFFFF"/>
        <rFont val="Arial"/>
        <family val="0"/>
        <charset val="1"/>
      </rPr>
      <t xml:space="preserve">☀ ShiningShadow — Hotmart </t>
    </r>
    <r>
      <rPr>
        <b val="true"/>
        <sz val="13"/>
        <color rgb="FFFFFFFF"/>
        <rFont val="Noto Sans CJK KR"/>
        <family val="2"/>
      </rPr>
      <t xml:space="preserve">완전판 매출 시뮬레이터 </t>
    </r>
    <r>
      <rPr>
        <b val="true"/>
        <sz val="13"/>
        <color rgb="FFFFFFFF"/>
        <rFont val="Arial"/>
        <family val="0"/>
        <charset val="1"/>
      </rPr>
      <t xml:space="preserve">(8</t>
    </r>
    <r>
      <rPr>
        <b val="true"/>
        <sz val="13"/>
        <color rgb="FFFFFFFF"/>
        <rFont val="Noto Sans CJK KR"/>
        <family val="2"/>
      </rPr>
      <t xml:space="preserve">유형 </t>
    </r>
    <r>
      <rPr>
        <b val="true"/>
        <sz val="13"/>
        <color rgb="FFFFFFFF"/>
        <rFont val="Arial"/>
        <family val="0"/>
        <charset val="1"/>
      </rPr>
      <t xml:space="preserve">× 3</t>
    </r>
    <r>
      <rPr>
        <b val="true"/>
        <sz val="13"/>
        <color rgb="FFFFFFFF"/>
        <rFont val="Noto Sans CJK KR"/>
        <family val="2"/>
      </rPr>
      <t xml:space="preserve">티어 </t>
    </r>
    <r>
      <rPr>
        <b val="true"/>
        <sz val="13"/>
        <color rgb="FFFFFFFF"/>
        <rFont val="Arial"/>
        <family val="0"/>
        <charset val="1"/>
      </rPr>
      <t xml:space="preserve">+ </t>
    </r>
    <r>
      <rPr>
        <b val="true"/>
        <sz val="13"/>
        <color rgb="FFFFFFFF"/>
        <rFont val="Noto Sans CJK KR"/>
        <family val="2"/>
      </rPr>
      <t xml:space="preserve">무료 퍼널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</si>
  <si>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🔵 파란색=직접입력  ⚫ 검정=자동계산  🟡 노란배경=핵심가정  |  퍼널: 진단→무료개요→Hotmart 유형별 링크</t>
  </si>
  <si>
    <t xml:space="preserve">① 상품 가격 구조 — 누적 포함 (박리다매 · 남미 최적화)</t>
  </si>
  <si>
    <r>
      <rPr>
        <sz val="10"/>
        <color rgb="FF1A2030"/>
        <rFont val="Arial"/>
        <family val="0"/>
        <charset val="1"/>
      </rPr>
      <t xml:space="preserve">Tier 1  ·  Basic + </t>
    </r>
    <r>
      <rPr>
        <sz val="10"/>
        <color rgb="FF1A2030"/>
        <rFont val="Noto Sans CJK KR"/>
        <family val="2"/>
      </rPr>
      <t xml:space="preserve">부록</t>
    </r>
    <r>
      <rPr>
        <sz val="10"/>
        <color rgb="FF1A2030"/>
        <rFont val="Arial"/>
        <family val="0"/>
        <charset val="1"/>
      </rPr>
      <t xml:space="preserve">A </t>
    </r>
    <r>
      <rPr>
        <sz val="10"/>
        <color rgb="FF1A2030"/>
        <rFont val="Noto Sans CJK KR"/>
        <family val="2"/>
      </rPr>
      <t xml:space="preserve">포함</t>
    </r>
  </si>
  <si>
    <r>
      <rPr>
        <sz val="9"/>
        <color rgb="FF888888"/>
        <rFont val="Arial"/>
        <family val="0"/>
        <charset val="1"/>
      </rPr>
      <t xml:space="preserve">$15 · </t>
    </r>
    <r>
      <rPr>
        <sz val="9"/>
        <color rgb="FF888888"/>
        <rFont val="Noto Sans CJK KR"/>
        <family val="2"/>
      </rPr>
      <t xml:space="preserve">마이크로트랜잭션 상한 </t>
    </r>
    <r>
      <rPr>
        <sz val="9"/>
        <color rgb="FF888888"/>
        <rFont val="Arial"/>
        <family val="0"/>
        <charset val="1"/>
      </rPr>
      <t xml:space="preserve">· Hotmart </t>
    </r>
    <r>
      <rPr>
        <sz val="9"/>
        <color rgb="FF888888"/>
        <rFont val="Noto Sans CJK KR"/>
        <family val="2"/>
      </rPr>
      <t xml:space="preserve">수수료 </t>
    </r>
    <r>
      <rPr>
        <sz val="9"/>
        <color rgb="FF888888"/>
        <rFont val="Arial"/>
        <family val="0"/>
        <charset val="1"/>
      </rPr>
      <t xml:space="preserve">20% </t>
    </r>
    <r>
      <rPr>
        <sz val="9"/>
        <color rgb="FF888888"/>
        <rFont val="Noto Sans CJK KR"/>
        <family val="2"/>
      </rPr>
      <t xml:space="preserve">적용</t>
    </r>
  </si>
  <si>
    <r>
      <rPr>
        <sz val="10"/>
        <color rgb="FF1A2030"/>
        <rFont val="Arial"/>
        <family val="0"/>
        <charset val="1"/>
      </rPr>
      <t xml:space="preserve">Tier 2  ·  Tier1 </t>
    </r>
    <r>
      <rPr>
        <sz val="10"/>
        <color rgb="FF1A2030"/>
        <rFont val="Noto Sans CJK KR"/>
        <family val="2"/>
      </rPr>
      <t xml:space="preserve">전체 </t>
    </r>
    <r>
      <rPr>
        <sz val="10"/>
        <color rgb="FF1A2030"/>
        <rFont val="Arial"/>
        <family val="0"/>
        <charset val="1"/>
      </rPr>
      <t xml:space="preserve">+ </t>
    </r>
    <r>
      <rPr>
        <sz val="10"/>
        <color rgb="FF1A2030"/>
        <rFont val="Noto Sans CJK KR"/>
        <family val="2"/>
      </rPr>
      <t xml:space="preserve">부록</t>
    </r>
    <r>
      <rPr>
        <sz val="10"/>
        <color rgb="FF1A2030"/>
        <rFont val="Arial"/>
        <family val="0"/>
        <charset val="1"/>
      </rPr>
      <t xml:space="preserve">B + Deep </t>
    </r>
    <r>
      <rPr>
        <sz val="10"/>
        <color rgb="FF1A2030"/>
        <rFont val="Noto Sans CJK KR"/>
        <family val="2"/>
      </rPr>
      <t xml:space="preserve">포함</t>
    </r>
  </si>
  <si>
    <r>
      <rPr>
        <sz val="9"/>
        <color rgb="FF888888"/>
        <rFont val="Arial"/>
        <family val="0"/>
        <charset val="1"/>
      </rPr>
      <t xml:space="preserve">$24 · </t>
    </r>
    <r>
      <rPr>
        <sz val="9"/>
        <color rgb="FF888888"/>
        <rFont val="Noto Sans CJK KR"/>
        <family val="2"/>
      </rPr>
      <t xml:space="preserve">주력 상품 </t>
    </r>
    <r>
      <rPr>
        <sz val="9"/>
        <color rgb="FF888888"/>
        <rFont val="Arial"/>
        <family val="0"/>
        <charset val="1"/>
      </rPr>
      <t xml:space="preserve">· Hotmart </t>
    </r>
    <r>
      <rPr>
        <sz val="9"/>
        <color rgb="FF888888"/>
        <rFont val="Noto Sans CJK KR"/>
        <family val="2"/>
      </rPr>
      <t xml:space="preserve">수수료 </t>
    </r>
    <r>
      <rPr>
        <sz val="9"/>
        <color rgb="FF888888"/>
        <rFont val="Arial"/>
        <family val="0"/>
        <charset val="1"/>
      </rPr>
      <t xml:space="preserve">9.9%+$0.50 </t>
    </r>
    <r>
      <rPr>
        <sz val="9"/>
        <color rgb="FF888888"/>
        <rFont val="Noto Sans CJK KR"/>
        <family val="2"/>
      </rPr>
      <t xml:space="preserve">적용</t>
    </r>
  </si>
  <si>
    <r>
      <rPr>
        <sz val="10"/>
        <color rgb="FF1A2030"/>
        <rFont val="Arial"/>
        <family val="0"/>
        <charset val="1"/>
      </rPr>
      <t xml:space="preserve">Tier 3  ·  Tier2 </t>
    </r>
    <r>
      <rPr>
        <sz val="10"/>
        <color rgb="FF1A2030"/>
        <rFont val="Noto Sans CJK KR"/>
        <family val="2"/>
      </rPr>
      <t xml:space="preserve">전체 </t>
    </r>
    <r>
      <rPr>
        <sz val="10"/>
        <color rgb="FF1A2030"/>
        <rFont val="Arial"/>
        <family val="0"/>
        <charset val="1"/>
      </rPr>
      <t xml:space="preserve">+ </t>
    </r>
    <r>
      <rPr>
        <sz val="10"/>
        <color rgb="FF1A2030"/>
        <rFont val="Noto Sans CJK KR"/>
        <family val="2"/>
      </rPr>
      <t xml:space="preserve">부록</t>
    </r>
    <r>
      <rPr>
        <sz val="10"/>
        <color rgb="FF1A2030"/>
        <rFont val="Arial"/>
        <family val="0"/>
        <charset val="1"/>
      </rPr>
      <t xml:space="preserve">C + Master </t>
    </r>
    <r>
      <rPr>
        <sz val="10"/>
        <color rgb="FF1A2030"/>
        <rFont val="Noto Sans CJK KR"/>
        <family val="2"/>
      </rPr>
      <t xml:space="preserve">포함</t>
    </r>
  </si>
  <si>
    <r>
      <rPr>
        <sz val="9"/>
        <color rgb="FF888888"/>
        <rFont val="Arial"/>
        <family val="0"/>
        <charset val="1"/>
      </rPr>
      <t xml:space="preserve">$29 · </t>
    </r>
    <r>
      <rPr>
        <sz val="9"/>
        <color rgb="FF888888"/>
        <rFont val="Noto Sans CJK KR"/>
        <family val="2"/>
      </rPr>
      <t xml:space="preserve">전체 콘텐츠 </t>
    </r>
    <r>
      <rPr>
        <sz val="9"/>
        <color rgb="FF888888"/>
        <rFont val="Arial"/>
        <family val="0"/>
        <charset val="1"/>
      </rPr>
      <t xml:space="preserve">· Hotmart </t>
    </r>
    <r>
      <rPr>
        <sz val="9"/>
        <color rgb="FF888888"/>
        <rFont val="Noto Sans CJK KR"/>
        <family val="2"/>
      </rPr>
      <t xml:space="preserve">수수료 </t>
    </r>
    <r>
      <rPr>
        <sz val="9"/>
        <color rgb="FF888888"/>
        <rFont val="Arial"/>
        <family val="0"/>
        <charset val="1"/>
      </rPr>
      <t xml:space="preserve">9.9%+$0.50 </t>
    </r>
    <r>
      <rPr>
        <sz val="9"/>
        <color rgb="FF888888"/>
        <rFont val="Noto Sans CJK KR"/>
        <family val="2"/>
      </rPr>
      <t xml:space="preserve">적용</t>
    </r>
  </si>
  <si>
    <t xml:space="preserve">무료 기본개요 리포트 (Shadowgram 퍼널)</t>
  </si>
  <si>
    <r>
      <rPr>
        <sz val="9"/>
        <color rgb="FF888888"/>
        <rFont val="Arial"/>
        <family val="0"/>
        <charset val="1"/>
      </rPr>
      <t xml:space="preserve">FREE · </t>
    </r>
    <r>
      <rPr>
        <sz val="9"/>
        <color rgb="FF888888"/>
        <rFont val="Noto Sans CJK KR"/>
        <family val="2"/>
      </rPr>
      <t xml:space="preserve">진단 후 이메일</t>
    </r>
    <r>
      <rPr>
        <sz val="9"/>
        <color rgb="FF888888"/>
        <rFont val="Arial"/>
        <family val="0"/>
        <charset val="1"/>
      </rPr>
      <t xml:space="preserve">/</t>
    </r>
    <r>
      <rPr>
        <sz val="9"/>
        <color rgb="FF888888"/>
        <rFont val="Noto Sans CJK KR"/>
        <family val="2"/>
      </rPr>
      <t xml:space="preserve">웹 자동발송 </t>
    </r>
    <r>
      <rPr>
        <sz val="9"/>
        <color rgb="FF888888"/>
        <rFont val="Arial"/>
        <family val="0"/>
        <charset val="1"/>
      </rPr>
      <t xml:space="preserve">· </t>
    </r>
    <r>
      <rPr>
        <sz val="9"/>
        <color rgb="FF888888"/>
        <rFont val="Noto Sans CJK KR"/>
        <family val="2"/>
      </rPr>
      <t xml:space="preserve">내부 링크로 유료 연결</t>
    </r>
  </si>
  <si>
    <r>
      <rPr>
        <b val="true"/>
        <sz val="10"/>
        <color rgb="FFFFFFFF"/>
        <rFont val="Arial"/>
        <family val="0"/>
        <charset val="1"/>
      </rPr>
      <t xml:space="preserve">② Shadowgram </t>
    </r>
    <r>
      <rPr>
        <b val="true"/>
        <sz val="10"/>
        <color rgb="FFFFFFFF"/>
        <rFont val="Noto Sans CJK KR"/>
        <family val="2"/>
      </rPr>
      <t xml:space="preserve">퍼널 전환율 가정</t>
    </r>
  </si>
  <si>
    <t xml:space="preserve">월 Shadowgram 진단 완료 수</t>
  </si>
  <si>
    <t xml:space="preserve">무료진단 완료 → 이메일 입력</t>
  </si>
  <si>
    <t xml:space="preserve">이메일 입력률 (진단 완료 중)</t>
  </si>
  <si>
    <t xml:space="preserve">무료 리포트 받으려고 자연 입력</t>
  </si>
  <si>
    <t xml:space="preserve">무료 개요 리포트 → Tier1 전환율</t>
  </si>
  <si>
    <t xml:space="preserve">리포트 내 링크 클릭 후 구매</t>
  </si>
  <si>
    <r>
      <rPr>
        <sz val="10"/>
        <color rgb="FF1A2030"/>
        <rFont val="Arial"/>
        <family val="0"/>
        <charset val="1"/>
      </rPr>
      <t xml:space="preserve">Tier1 → Tier2 </t>
    </r>
    <r>
      <rPr>
        <sz val="10"/>
        <color rgb="FF1A2030"/>
        <rFont val="Noto Sans CJK KR"/>
        <family val="2"/>
      </rPr>
      <t xml:space="preserve">업셀 전환율</t>
    </r>
  </si>
  <si>
    <r>
      <rPr>
        <sz val="9"/>
        <color rgb="FF888888"/>
        <rFont val="Arial"/>
        <family val="0"/>
        <charset val="1"/>
      </rPr>
      <t xml:space="preserve">Tier1 </t>
    </r>
    <r>
      <rPr>
        <sz val="9"/>
        <color rgb="FF888888"/>
        <rFont val="Noto Sans CJK KR"/>
        <family val="2"/>
      </rPr>
      <t xml:space="preserve">포함이므로 자연 업그레이드</t>
    </r>
  </si>
  <si>
    <r>
      <rPr>
        <sz val="10"/>
        <color rgb="FF1A2030"/>
        <rFont val="Arial"/>
        <family val="0"/>
        <charset val="1"/>
      </rPr>
      <t xml:space="preserve">Tier2 → Tier3 </t>
    </r>
    <r>
      <rPr>
        <sz val="10"/>
        <color rgb="FF1A2030"/>
        <rFont val="Noto Sans CJK KR"/>
        <family val="2"/>
      </rPr>
      <t xml:space="preserve">업셀 전환율</t>
    </r>
  </si>
  <si>
    <t xml:space="preserve">완전판 원하는 헤비유저</t>
  </si>
  <si>
    <t xml:space="preserve">월 성장률 (바이럴 복리)</t>
  </si>
  <si>
    <t xml:space="preserve">진단 공유 + 리추얼 인증 루프</t>
  </si>
  <si>
    <t xml:space="preserve">③ 수수료 구조 — Hotmart 티어별 + 제휴 커미션</t>
  </si>
  <si>
    <r>
      <rPr>
        <sz val="10"/>
        <color rgb="FF1A2030"/>
        <rFont val="Arial"/>
        <family val="0"/>
        <charset val="1"/>
      </rPr>
      <t xml:space="preserve">Hotmart </t>
    </r>
    <r>
      <rPr>
        <sz val="10"/>
        <color rgb="FF1A2030"/>
        <rFont val="Noto Sans CJK KR"/>
        <family val="2"/>
      </rPr>
      <t xml:space="preserve">수수료 — </t>
    </r>
    <r>
      <rPr>
        <sz val="10"/>
        <color rgb="FF1A2030"/>
        <rFont val="Arial"/>
        <family val="0"/>
        <charset val="1"/>
      </rPr>
      <t xml:space="preserve">Tier 1 ($15, </t>
    </r>
    <r>
      <rPr>
        <sz val="10"/>
        <color rgb="FF1A2030"/>
        <rFont val="Noto Sans CJK KR"/>
        <family val="2"/>
      </rPr>
      <t xml:space="preserve">마이크로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</si>
  <si>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9"/>
        <color rgb="FF888888"/>
        <rFont val="Arial"/>
        <family val="0"/>
        <charset val="1"/>
      </rPr>
      <t xml:space="preserve">20% </t>
    </r>
    <r>
      <rPr>
        <sz val="9"/>
        <color rgb="FF888888"/>
        <rFont val="Noto Sans CJK KR"/>
        <family val="2"/>
      </rPr>
      <t xml:space="preserve">고정 </t>
    </r>
    <r>
      <rPr>
        <sz val="9"/>
        <color rgb="FF888888"/>
        <rFont val="Arial"/>
        <family val="0"/>
        <charset val="1"/>
      </rPr>
      <t xml:space="preserve">(≤$15 </t>
    </r>
    <r>
      <rPr>
        <sz val="9"/>
        <color rgb="FF888888"/>
        <rFont val="Noto Sans CJK KR"/>
        <family val="2"/>
      </rPr>
      <t xml:space="preserve">마이크로트랜잭션 정책</t>
    </r>
    <r>
      <rPr>
        <sz val="9"/>
        <color rgb="FF888888"/>
        <rFont val="Arial"/>
        <family val="0"/>
        <charset val="1"/>
      </rPr>
      <t xml:space="preserve">)</t>
    </r>
  </si>
  <si>
    <r>
      <rPr>
        <sz val="10"/>
        <color rgb="FF1A2030"/>
        <rFont val="Arial"/>
        <family val="0"/>
        <charset val="1"/>
      </rPr>
      <t xml:space="preserve">Hotmart </t>
    </r>
    <r>
      <rPr>
        <sz val="10"/>
        <color rgb="FF1A2030"/>
        <rFont val="Noto Sans CJK KR"/>
        <family val="2"/>
      </rPr>
      <t xml:space="preserve">수수료 — </t>
    </r>
    <r>
      <rPr>
        <sz val="10"/>
        <color rgb="FF1A2030"/>
        <rFont val="Arial"/>
        <family val="0"/>
        <charset val="1"/>
      </rPr>
      <t xml:space="preserve">Tier 2 ($24)</t>
    </r>
  </si>
  <si>
    <r>
      <rPr>
        <sz val="9"/>
        <color rgb="FF888888"/>
        <rFont val="Arial"/>
        <family val="0"/>
        <charset val="1"/>
      </rPr>
      <t xml:space="preserve">9.9% + $0.50 </t>
    </r>
    <r>
      <rPr>
        <sz val="9"/>
        <color rgb="FF888888"/>
        <rFont val="Noto Sans CJK KR"/>
        <family val="2"/>
      </rPr>
      <t xml:space="preserve">고정액 별도</t>
    </r>
  </si>
  <si>
    <r>
      <rPr>
        <sz val="10"/>
        <color rgb="FF1A2030"/>
        <rFont val="Arial"/>
        <family val="0"/>
        <charset val="1"/>
      </rPr>
      <t xml:space="preserve">Hotmart </t>
    </r>
    <r>
      <rPr>
        <sz val="10"/>
        <color rgb="FF1A2030"/>
        <rFont val="Noto Sans CJK KR"/>
        <family val="2"/>
      </rPr>
      <t xml:space="preserve">수수료 — </t>
    </r>
    <r>
      <rPr>
        <sz val="10"/>
        <color rgb="FF1A2030"/>
        <rFont val="Arial"/>
        <family val="0"/>
        <charset val="1"/>
      </rPr>
      <t xml:space="preserve">Tier 3 ($29)</t>
    </r>
  </si>
  <si>
    <r>
      <rPr>
        <sz val="10"/>
        <color rgb="FF1A2030"/>
        <rFont val="Arial"/>
        <family val="0"/>
        <charset val="1"/>
      </rPr>
      <t xml:space="preserve">Hotmart </t>
    </r>
    <r>
      <rPr>
        <sz val="10"/>
        <color rgb="FF1A2030"/>
        <rFont val="Noto Sans CJK KR"/>
        <family val="2"/>
      </rPr>
      <t xml:space="preserve">고정액 </t>
    </r>
    <r>
      <rPr>
        <sz val="10"/>
        <color rgb="FF1A2030"/>
        <rFont val="Arial"/>
        <family val="0"/>
        <charset val="1"/>
      </rPr>
      <t xml:space="preserve">(T2/T3 </t>
    </r>
    <r>
      <rPr>
        <sz val="10"/>
        <color rgb="FF1A2030"/>
        <rFont val="Noto Sans CJK KR"/>
        <family val="2"/>
      </rPr>
      <t xml:space="preserve">적용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</si>
  <si>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9"/>
        <color rgb="FF888888"/>
        <rFont val="Arial"/>
        <family val="0"/>
        <charset val="1"/>
      </rPr>
      <t xml:space="preserve">$0.50/</t>
    </r>
    <r>
      <rPr>
        <sz val="9"/>
        <color rgb="FF888888"/>
        <rFont val="Noto Sans CJK KR"/>
        <family val="2"/>
      </rPr>
      <t xml:space="preserve">건 추가 차감 </t>
    </r>
    <r>
      <rPr>
        <sz val="9"/>
        <color rgb="FF888888"/>
        <rFont val="Arial"/>
        <family val="0"/>
        <charset val="1"/>
      </rPr>
      <t xml:space="preserve">(T2: $0.50, T3: $0.50)</t>
    </r>
  </si>
  <si>
    <t xml:space="preserve">제휴 커미션율 — Tier 1</t>
  </si>
  <si>
    <r>
      <rPr>
        <sz val="9"/>
        <color rgb="FF888888"/>
        <rFont val="Arial"/>
        <family val="0"/>
        <charset val="1"/>
      </rPr>
      <t xml:space="preserve">70% of </t>
    </r>
    <r>
      <rPr>
        <sz val="9"/>
        <color rgb="FF888888"/>
        <rFont val="Noto Sans CJK KR"/>
        <family val="2"/>
      </rPr>
      <t xml:space="preserve">순액 → 제휴사 ≈</t>
    </r>
    <r>
      <rPr>
        <sz val="9"/>
        <color rgb="FF888888"/>
        <rFont val="Arial"/>
        <family val="0"/>
        <charset val="1"/>
      </rPr>
      <t xml:space="preserve">$8.40/</t>
    </r>
    <r>
      <rPr>
        <sz val="9"/>
        <color rgb="FF888888"/>
        <rFont val="Noto Sans CJK KR"/>
        <family val="2"/>
      </rPr>
      <t xml:space="preserve">건</t>
    </r>
  </si>
  <si>
    <t xml:space="preserve">제휴 커미션율 — Tier 2</t>
  </si>
  <si>
    <r>
      <rPr>
        <sz val="9"/>
        <color rgb="FF888888"/>
        <rFont val="Arial"/>
        <family val="0"/>
        <charset val="1"/>
      </rPr>
      <t xml:space="preserve">50% of </t>
    </r>
    <r>
      <rPr>
        <sz val="9"/>
        <color rgb="FF888888"/>
        <rFont val="Noto Sans CJK KR"/>
        <family val="2"/>
      </rPr>
      <t xml:space="preserve">순액 → 제휴사 ≈</t>
    </r>
    <r>
      <rPr>
        <sz val="9"/>
        <color rgb="FF888888"/>
        <rFont val="Arial"/>
        <family val="0"/>
        <charset val="1"/>
      </rPr>
      <t xml:space="preserve">$10.93/</t>
    </r>
    <r>
      <rPr>
        <sz val="9"/>
        <color rgb="FF888888"/>
        <rFont val="Noto Sans CJK KR"/>
        <family val="2"/>
      </rPr>
      <t xml:space="preserve">건</t>
    </r>
  </si>
  <si>
    <t xml:space="preserve">제휴 커미션율 — Tier 3</t>
  </si>
  <si>
    <r>
      <rPr>
        <sz val="9"/>
        <color rgb="FF888888"/>
        <rFont val="Arial"/>
        <family val="0"/>
        <charset val="1"/>
      </rPr>
      <t xml:space="preserve">50% of </t>
    </r>
    <r>
      <rPr>
        <sz val="9"/>
        <color rgb="FF888888"/>
        <rFont val="Noto Sans CJK KR"/>
        <family val="2"/>
      </rPr>
      <t xml:space="preserve">순액 → 제휴사 ≈</t>
    </r>
    <r>
      <rPr>
        <sz val="9"/>
        <color rgb="FF888888"/>
        <rFont val="Arial"/>
        <family val="0"/>
        <charset val="1"/>
      </rPr>
      <t xml:space="preserve">$13.34/</t>
    </r>
    <r>
      <rPr>
        <sz val="9"/>
        <color rgb="FF888888"/>
        <rFont val="Noto Sans CJK KR"/>
        <family val="2"/>
      </rPr>
      <t xml:space="preserve">건</t>
    </r>
  </si>
  <si>
    <t xml:space="preserve">제휴 경유 비중 (전체 판매 중)</t>
  </si>
  <si>
    <t xml:space="preserve">직접(퍼널) 75% + 제휴 25%</t>
  </si>
  <si>
    <t xml:space="preserve">⑤ 유형별 월 수량 (M1 기준, 8유형 균등 가정)</t>
  </si>
  <si>
    <t xml:space="preserve">유형별 이메일 수집 수</t>
  </si>
  <si>
    <t xml:space="preserve">진단완료×이메일율÷8유형</t>
  </si>
  <si>
    <t xml:space="preserve">유형별 T1 구매 수</t>
  </si>
  <si>
    <t xml:space="preserve">이메일→T1 전환</t>
  </si>
  <si>
    <t xml:space="preserve">유형별 T2 구매 수</t>
  </si>
  <si>
    <r>
      <rPr>
        <sz val="9"/>
        <color rgb="FF888888"/>
        <rFont val="Arial"/>
        <family val="0"/>
        <charset val="1"/>
      </rPr>
      <t xml:space="preserve">T1→T2 </t>
    </r>
    <r>
      <rPr>
        <sz val="9"/>
        <color rgb="FF888888"/>
        <rFont val="Noto Sans CJK KR"/>
        <family val="2"/>
      </rPr>
      <t xml:space="preserve">업셀</t>
    </r>
  </si>
  <si>
    <t xml:space="preserve">유형별 T3 구매 수</t>
  </si>
  <si>
    <r>
      <rPr>
        <sz val="9"/>
        <color rgb="FF888888"/>
        <rFont val="Arial"/>
        <family val="0"/>
        <charset val="1"/>
      </rPr>
      <t xml:space="preserve">T2→T3 </t>
    </r>
    <r>
      <rPr>
        <sz val="9"/>
        <color rgb="FF888888"/>
        <rFont val="Noto Sans CJK KR"/>
        <family val="2"/>
      </rPr>
      <t xml:space="preserve">업셀</t>
    </r>
  </si>
  <si>
    <t xml:space="preserve">⑥ 건당 수익 구조 — 참조용</t>
  </si>
  <si>
    <r>
      <rPr>
        <sz val="11"/>
        <color theme="1"/>
        <rFont val="Calibri"/>
        <family val="2"/>
        <charset val="1"/>
      </rPr>
      <t xml:space="preserve">T1 </t>
    </r>
    <r>
      <rPr>
        <sz val="11"/>
        <color theme="1"/>
        <rFont val="Noto Sans CJK KR"/>
        <family val="2"/>
      </rPr>
      <t xml:space="preserve">건당 순액 </t>
    </r>
    <r>
      <rPr>
        <sz val="11"/>
        <color theme="1"/>
        <rFont val="Calibri"/>
        <family val="2"/>
        <charset val="1"/>
      </rPr>
      <t xml:space="preserve">(Hotmart </t>
    </r>
    <r>
      <rPr>
        <sz val="11"/>
        <color theme="1"/>
        <rFont val="Noto Sans CJK KR"/>
        <family val="2"/>
      </rPr>
      <t xml:space="preserve">차감 후</t>
    </r>
    <r>
      <rPr>
        <sz val="11"/>
        <color theme="1"/>
        <rFont val="Calibri"/>
        <family val="2"/>
        <charset val="1"/>
      </rPr>
      <t xml:space="preserve">)</t>
    </r>
  </si>
  <si>
    <t xml:space="preserve">$15 × (1-20%) = $12.00</t>
  </si>
  <si>
    <r>
      <rPr>
        <sz val="11"/>
        <color theme="1"/>
        <rFont val="Calibri"/>
        <family val="2"/>
        <charset val="1"/>
      </rPr>
      <t xml:space="preserve">T2 </t>
    </r>
    <r>
      <rPr>
        <sz val="11"/>
        <color theme="1"/>
        <rFont val="Noto Sans CJK KR"/>
        <family val="2"/>
      </rPr>
      <t xml:space="preserve">건당 순액 </t>
    </r>
    <r>
      <rPr>
        <sz val="11"/>
        <color theme="1"/>
        <rFont val="Calibri"/>
        <family val="2"/>
        <charset val="1"/>
      </rPr>
      <t xml:space="preserve">(Hotmart </t>
    </r>
    <r>
      <rPr>
        <sz val="11"/>
        <color theme="1"/>
        <rFont val="Noto Sans CJK KR"/>
        <family val="2"/>
      </rPr>
      <t xml:space="preserve">차감 후</t>
    </r>
    <r>
      <rPr>
        <sz val="11"/>
        <color theme="1"/>
        <rFont val="Calibri"/>
        <family val="2"/>
        <charset val="1"/>
      </rPr>
      <t xml:space="preserve">)</t>
    </r>
  </si>
  <si>
    <t xml:space="preserve">$24 × (1-9.9%) - $0.50 = $21.12</t>
  </si>
  <si>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KR"/>
        <family val="2"/>
      </rPr>
      <t xml:space="preserve">건당 순액 </t>
    </r>
    <r>
      <rPr>
        <sz val="11"/>
        <color theme="1"/>
        <rFont val="Calibri"/>
        <family val="2"/>
        <charset val="1"/>
      </rPr>
      <t xml:space="preserve">(Hotmart </t>
    </r>
    <r>
      <rPr>
        <sz val="11"/>
        <color theme="1"/>
        <rFont val="Noto Sans CJK KR"/>
        <family val="2"/>
      </rPr>
      <t xml:space="preserve">차감 후</t>
    </r>
    <r>
      <rPr>
        <sz val="11"/>
        <color theme="1"/>
        <rFont val="Calibri"/>
        <family val="2"/>
        <charset val="1"/>
      </rPr>
      <t xml:space="preserve">)</t>
    </r>
  </si>
  <si>
    <t xml:space="preserve">$29 × (1-9.9%) - $0.50 = $25.63</t>
  </si>
  <si>
    <t xml:space="preserve">제휴사 T1 실수령/건</t>
  </si>
  <si>
    <t xml:space="preserve">$12 × 70% = $8.40</t>
  </si>
  <si>
    <t xml:space="preserve">제휴사 T2 실수령/건</t>
  </si>
  <si>
    <t xml:space="preserve">$21.12 × 50% = $10.56</t>
  </si>
  <si>
    <t xml:space="preserve">제휴사 T3 실수령/건</t>
  </si>
  <si>
    <t xml:space="preserve">$25.63 × 50% = $12.81</t>
  </si>
  <si>
    <t xml:space="preserve">민철님 T1 직접판매 실수령/건</t>
  </si>
  <si>
    <t xml:space="preserve">$12 × 30% = $3.60</t>
  </si>
  <si>
    <t xml:space="preserve">민철님 T2 직접판매 실수령/건</t>
  </si>
  <si>
    <t xml:space="preserve">민철님 T3 직접판매 실수령/건</t>
  </si>
  <si>
    <t xml:space="preserve">💡 건당 실수령: T1 민철$3.60 / T2 민철$10.56 / T3 민철$12.81 | 제휴: T1$8.40 / T2$10.56 / T3$12.81</t>
  </si>
  <si>
    <t xml:space="preserve">📈 월별 성장 시뮬레이션 — 8유형 완전판 (M1~M12)</t>
  </si>
  <si>
    <t xml:space="preserve">기준: 가정값 시트 전환율 적용 · 월별 바이럴 성장률 복리 · 8유형 × 3티어 완전 운영</t>
  </si>
  <si>
    <t xml:space="preserve">항목</t>
  </si>
  <si>
    <r>
      <rPr>
        <b val="true"/>
        <sz val="10"/>
        <color rgb="FFFFFFFF"/>
        <rFont val="Arial"/>
        <family val="0"/>
        <charset val="1"/>
      </rPr>
      <t xml:space="preserve">M1 </t>
    </r>
    <r>
      <rPr>
        <b val="true"/>
        <sz val="10"/>
        <color rgb="FFFFFFFF"/>
        <rFont val="Noto Sans CJK KR"/>
        <family val="2"/>
      </rPr>
      <t xml:space="preserve">기준</t>
    </r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</si>
  <si>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</si>
  <si>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</si>
  <si>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</si>
  <si>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</si>
  <si>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</si>
  <si>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</si>
  <si>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</si>
  <si>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</si>
  <si>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</si>
  <si>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</si>
  <si>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</si>
  <si>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</si>
  <si>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진단 완료 수</t>
  </si>
  <si>
    <t xml:space="preserve">↑ 기준</t>
  </si>
  <si>
    <t xml:space="preserve">이메일 수집 수</t>
  </si>
  <si>
    <r>
      <rPr>
        <sz val="10"/>
        <color rgb="FF1A2030"/>
        <rFont val="Arial"/>
        <family val="0"/>
        <charset val="1"/>
      </rPr>
      <t xml:space="preserve">Tier1 </t>
    </r>
    <r>
      <rPr>
        <sz val="10"/>
        <color rgb="FF1A2030"/>
        <rFont val="Noto Sans CJK KR"/>
        <family val="2"/>
      </rPr>
      <t xml:space="preserve">구매 수 </t>
    </r>
    <r>
      <rPr>
        <sz val="10"/>
        <color rgb="FF1A2030"/>
        <rFont val="Arial"/>
        <family val="0"/>
        <charset val="1"/>
      </rPr>
      <t xml:space="preserve">(8</t>
    </r>
    <r>
      <rPr>
        <sz val="10"/>
        <color rgb="FF1A2030"/>
        <rFont val="Noto Sans CJK KR"/>
        <family val="2"/>
      </rPr>
      <t xml:space="preserve">유형 합산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</si>
  <si>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Arial"/>
        <family val="0"/>
        <charset val="1"/>
      </rPr>
      <t xml:space="preserve">Tier2 </t>
    </r>
    <r>
      <rPr>
        <sz val="10"/>
        <color rgb="FF1A2030"/>
        <rFont val="Noto Sans CJK KR"/>
        <family val="2"/>
      </rPr>
      <t xml:space="preserve">구매 수 </t>
    </r>
    <r>
      <rPr>
        <sz val="10"/>
        <color rgb="FF1A2030"/>
        <rFont val="Arial"/>
        <family val="0"/>
        <charset val="1"/>
      </rPr>
      <t xml:space="preserve">(8</t>
    </r>
    <r>
      <rPr>
        <sz val="10"/>
        <color rgb="FF1A2030"/>
        <rFont val="Noto Sans CJK KR"/>
        <family val="2"/>
      </rPr>
      <t xml:space="preserve">유형 합산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</si>
  <si>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Arial"/>
        <family val="0"/>
        <charset val="1"/>
      </rPr>
      <t xml:space="preserve">Tier3 </t>
    </r>
    <r>
      <rPr>
        <sz val="10"/>
        <color rgb="FF1A2030"/>
        <rFont val="Noto Sans CJK KR"/>
        <family val="2"/>
      </rPr>
      <t xml:space="preserve">구매 수 </t>
    </r>
    <r>
      <rPr>
        <sz val="10"/>
        <color rgb="FF1A2030"/>
        <rFont val="Arial"/>
        <family val="0"/>
        <charset val="1"/>
      </rPr>
      <t xml:space="preserve">(8</t>
    </r>
    <r>
      <rPr>
        <sz val="10"/>
        <color rgb="FF1A2030"/>
        <rFont val="Noto Sans CJK KR"/>
        <family val="2"/>
      </rPr>
      <t xml:space="preserve">유형 합산</t>
    </r>
    <r>
      <rPr>
        <sz val="10"/>
        <color rgb="FF1A2030"/>
        <rFont val="Arial"/>
        <family val="0"/>
        <charset val="1"/>
      </rPr>
      <t xml:space="preserve">)</t>
    </r>
  </si>
  <si>
    <t xml:space="preserve">매출 흐름 (Gross → 수수료 차감 → 순 수익)</t>
  </si>
  <si>
    <r>
      <rPr>
        <sz val="10"/>
        <color rgb="FF1A2030"/>
        <rFont val="Arial"/>
        <family val="0"/>
        <charset val="1"/>
      </rPr>
      <t xml:space="preserve">Tier1 </t>
    </r>
    <r>
      <rPr>
        <sz val="10"/>
        <color rgb="FF1A2030"/>
        <rFont val="Noto Sans CJK KR"/>
        <family val="2"/>
      </rPr>
      <t xml:space="preserve">매출 </t>
    </r>
    <r>
      <rPr>
        <sz val="10"/>
        <color rgb="FF1A2030"/>
        <rFont val="Arial"/>
        <family val="0"/>
        <charset val="1"/>
      </rPr>
      <t xml:space="preserve">(Gross)</t>
    </r>
  </si>
  <si>
    <r>
      <rPr>
        <sz val="10"/>
        <color rgb="FF1A2030"/>
        <rFont val="Arial"/>
        <family val="0"/>
        <charset val="1"/>
      </rPr>
      <t xml:space="preserve">Tier2 </t>
    </r>
    <r>
      <rPr>
        <sz val="10"/>
        <color rgb="FF1A2030"/>
        <rFont val="Noto Sans CJK KR"/>
        <family val="2"/>
      </rPr>
      <t xml:space="preserve">매출 </t>
    </r>
    <r>
      <rPr>
        <sz val="10"/>
        <color rgb="FF1A2030"/>
        <rFont val="Arial"/>
        <family val="0"/>
        <charset val="1"/>
      </rPr>
      <t xml:space="preserve">(Gross)</t>
    </r>
  </si>
  <si>
    <r>
      <rPr>
        <sz val="10"/>
        <color rgb="FF1A2030"/>
        <rFont val="Arial"/>
        <family val="0"/>
        <charset val="1"/>
      </rPr>
      <t xml:space="preserve">Tier3 </t>
    </r>
    <r>
      <rPr>
        <sz val="10"/>
        <color rgb="FF1A2030"/>
        <rFont val="Noto Sans CJK KR"/>
        <family val="2"/>
      </rPr>
      <t xml:space="preserve">매출 </t>
    </r>
    <r>
      <rPr>
        <sz val="10"/>
        <color rgb="FF1A2030"/>
        <rFont val="Arial"/>
        <family val="0"/>
        <charset val="1"/>
      </rPr>
      <t xml:space="preserve">(Gross)</t>
    </r>
  </si>
  <si>
    <t xml:space="preserve">총 매출 (Gross)</t>
  </si>
  <si>
    <t xml:space="preserve">  차감: Hotmart 수수료 (T1:20% · T2/T3:9.9%+$0.50/건)</t>
  </si>
  <si>
    <t xml:space="preserve">  차감: 제휴 커미션 (T1:70% T2:50% T3:50% · 순액 기준)</t>
  </si>
  <si>
    <t xml:space="preserve">▶ 월 순 수익</t>
  </si>
  <si>
    <t xml:space="preserve">누적 순 수익</t>
  </si>
  <si>
    <t xml:space="preserve">연간 합계 요약</t>
  </si>
  <si>
    <t xml:space="preserve">연간 총 매출</t>
  </si>
  <si>
    <t xml:space="preserve">연간 순 수익</t>
  </si>
  <si>
    <r>
      <rPr>
        <b val="true"/>
        <sz val="10"/>
        <color rgb="FF1A2030"/>
        <rFont val="Arial"/>
        <family val="0"/>
        <charset val="1"/>
      </rPr>
      <t xml:space="preserve">12</t>
    </r>
    <r>
      <rPr>
        <b val="true"/>
        <sz val="10"/>
        <color rgb="FF1A2030"/>
        <rFont val="Noto Sans CJK KR"/>
        <family val="2"/>
      </rPr>
      <t xml:space="preserve">개월 누적 순 수익</t>
    </r>
  </si>
  <si>
    <t xml:space="preserve">월평균 순 수익</t>
  </si>
  <si>
    <t xml:space="preserve">원화 환산 연간 (₩1,400)</t>
  </si>
  <si>
    <t xml:space="preserve">  연간 순 수익 (₩)</t>
  </si>
  <si>
    <t xml:space="preserve">  월평균 순 수익 (₩)</t>
  </si>
  <si>
    <t xml:space="preserve">🎯 시나리오 비교 — 보수적 / 기본 / 낙관 / 드림  (8유형 완전판 기준)</t>
  </si>
  <si>
    <r>
      <rPr>
        <sz val="9"/>
        <color rgb="FF1A2030"/>
        <rFont val="Arial"/>
        <family val="0"/>
        <charset val="1"/>
      </rPr>
      <t xml:space="preserve">M12(12</t>
    </r>
    <r>
      <rPr>
        <sz val="9"/>
        <color rgb="FF1A2030"/>
        <rFont val="Noto Sans CJK KR"/>
        <family val="2"/>
      </rPr>
      <t xml:space="preserve">개월 후</t>
    </r>
    <r>
      <rPr>
        <sz val="9"/>
        <color rgb="FF1A2030"/>
        <rFont val="Arial"/>
        <family val="0"/>
        <charset val="1"/>
      </rPr>
      <t xml:space="preserve">) </t>
    </r>
    <r>
      <rPr>
        <sz val="9"/>
        <color rgb="FF1A2030"/>
        <rFont val="Noto Sans CJK KR"/>
        <family val="2"/>
      </rPr>
      <t xml:space="preserve">월 순 수익 기준 </t>
    </r>
    <r>
      <rPr>
        <sz val="9"/>
        <color rgb="FF1A2030"/>
        <rFont val="Arial"/>
        <family val="0"/>
        <charset val="1"/>
      </rPr>
      <t xml:space="preserve">· </t>
    </r>
    <r>
      <rPr>
        <sz val="9"/>
        <color rgb="FF1A2030"/>
        <rFont val="Noto Sans CJK KR"/>
        <family val="2"/>
      </rPr>
      <t xml:space="preserve">모든 계산 독립 가정값 사용 </t>
    </r>
    <r>
      <rPr>
        <sz val="9"/>
        <color rgb="FF1A2030"/>
        <rFont val="Arial"/>
        <family val="0"/>
        <charset val="1"/>
      </rPr>
      <t xml:space="preserve">· </t>
    </r>
    <r>
      <rPr>
        <sz val="9"/>
        <color rgb="FF1A2030"/>
        <rFont val="Noto Sans CJK KR"/>
        <family val="2"/>
      </rPr>
      <t xml:space="preserve">파란색 셀 직접 수정 가능</t>
    </r>
  </si>
  <si>
    <t xml:space="preserve">가정 항목</t>
  </si>
  <si>
    <t xml:space="preserve">보수적 😐</t>
  </si>
  <si>
    <t xml:space="preserve">기본 🙂</t>
  </si>
  <si>
    <t xml:space="preserve">낙관 😊</t>
  </si>
  <si>
    <t xml:space="preserve">드림 🚀</t>
  </si>
  <si>
    <t xml:space="preserve">월 진단 완료 수</t>
  </si>
  <si>
    <t xml:space="preserve">이메일 입력률</t>
  </si>
  <si>
    <t xml:space="preserve">무료개요→Tier1 전환율</t>
  </si>
  <si>
    <r>
      <rPr>
        <sz val="10"/>
        <color rgb="FF1A2030"/>
        <rFont val="Arial"/>
        <family val="0"/>
        <charset val="1"/>
      </rPr>
      <t xml:space="preserve">Tier1→Tier2 </t>
    </r>
    <r>
      <rPr>
        <sz val="10"/>
        <color rgb="FF1A2030"/>
        <rFont val="Noto Sans CJK KR"/>
        <family val="2"/>
      </rPr>
      <t xml:space="preserve">업셀율</t>
    </r>
  </si>
  <si>
    <r>
      <rPr>
        <sz val="10"/>
        <color rgb="FF1A2030"/>
        <rFont val="Arial"/>
        <family val="0"/>
        <charset val="1"/>
      </rPr>
      <t xml:space="preserve">Tier2→Tier3 </t>
    </r>
    <r>
      <rPr>
        <sz val="10"/>
        <color rgb="FF1A2030"/>
        <rFont val="Noto Sans CJK KR"/>
        <family val="2"/>
      </rPr>
      <t xml:space="preserve">업셀율</t>
    </r>
  </si>
  <si>
    <t xml:space="preserve">월 성장률</t>
  </si>
  <si>
    <t xml:space="preserve">제휴 경유 비중</t>
  </si>
  <si>
    <r>
      <rPr>
        <b val="true"/>
        <sz val="10"/>
        <color rgb="FFFFFFFF"/>
        <rFont val="Arial"/>
        <family val="0"/>
        <charset val="1"/>
      </rPr>
      <t xml:space="preserve">📊 M12 </t>
    </r>
    <r>
      <rPr>
        <b val="true"/>
        <sz val="10"/>
        <color rgb="FFFFFFFF"/>
        <rFont val="Noto Sans CJK KR"/>
        <family val="2"/>
      </rPr>
      <t xml:space="preserve">월 순 수익 계산 </t>
    </r>
    <r>
      <rPr>
        <b val="true"/>
        <sz val="10"/>
        <color rgb="FFFFFFFF"/>
        <rFont val="Arial"/>
        <family val="0"/>
        <charset val="1"/>
      </rPr>
      <t xml:space="preserve">(12</t>
    </r>
    <r>
      <rPr>
        <b val="true"/>
        <sz val="10"/>
        <color rgb="FFFFFFFF"/>
        <rFont val="Noto Sans CJK KR"/>
        <family val="2"/>
      </rPr>
      <t xml:space="preserve">개월 후 </t>
    </r>
    <r>
      <rPr>
        <b val="true"/>
        <sz val="10"/>
        <color rgb="FFFFFFFF"/>
        <rFont val="Arial"/>
        <family val="0"/>
        <charset val="1"/>
      </rPr>
      <t xml:space="preserve">· </t>
    </r>
    <r>
      <rPr>
        <b val="true"/>
        <sz val="10"/>
        <color rgb="FFFFFFFF"/>
        <rFont val="Noto Sans CJK KR"/>
        <family val="2"/>
      </rPr>
      <t xml:space="preserve">성장률 복리 적용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</si>
  <si>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진단 수 (M12)</t>
  </si>
  <si>
    <t xml:space="preserve">이메일 수집 (M12)</t>
  </si>
  <si>
    <r>
      <rPr>
        <sz val="10"/>
        <color rgb="FF1A2030"/>
        <rFont val="Arial"/>
        <family val="0"/>
        <charset val="1"/>
      </rPr>
      <t xml:space="preserve">Tier1 </t>
    </r>
    <r>
      <rPr>
        <sz val="10"/>
        <color rgb="FF1A2030"/>
        <rFont val="Noto Sans CJK KR"/>
        <family val="2"/>
      </rPr>
      <t xml:space="preserve">구매 </t>
    </r>
    <r>
      <rPr>
        <sz val="10"/>
        <color rgb="FF1A2030"/>
        <rFont val="Arial"/>
        <family val="0"/>
        <charset val="1"/>
      </rPr>
      <t xml:space="preserve">(8</t>
    </r>
    <r>
      <rPr>
        <sz val="10"/>
        <color rgb="FF1A2030"/>
        <rFont val="Noto Sans CJK KR"/>
        <family val="2"/>
      </rPr>
      <t xml:space="preserve">유형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</si>
  <si>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Arial"/>
        <family val="0"/>
        <charset val="1"/>
      </rPr>
      <t xml:space="preserve">Tier2 </t>
    </r>
    <r>
      <rPr>
        <sz val="10"/>
        <color rgb="FF1A2030"/>
        <rFont val="Noto Sans CJK KR"/>
        <family val="2"/>
      </rPr>
      <t xml:space="preserve">구매 </t>
    </r>
    <r>
      <rPr>
        <sz val="10"/>
        <color rgb="FF1A2030"/>
        <rFont val="Arial"/>
        <family val="0"/>
        <charset val="1"/>
      </rPr>
      <t xml:space="preserve">(8</t>
    </r>
    <r>
      <rPr>
        <sz val="10"/>
        <color rgb="FF1A2030"/>
        <rFont val="Noto Sans CJK KR"/>
        <family val="2"/>
      </rPr>
      <t xml:space="preserve">유형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</si>
  <si>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Arial"/>
        <family val="0"/>
        <charset val="1"/>
      </rPr>
      <t xml:space="preserve">Tier3 </t>
    </r>
    <r>
      <rPr>
        <sz val="10"/>
        <color rgb="FF1A2030"/>
        <rFont val="Noto Sans CJK KR"/>
        <family val="2"/>
      </rPr>
      <t xml:space="preserve">구매 </t>
    </r>
    <r>
      <rPr>
        <sz val="10"/>
        <color rgb="FF1A2030"/>
        <rFont val="Arial"/>
        <family val="0"/>
        <charset val="1"/>
      </rPr>
      <t xml:space="preserve">(8</t>
    </r>
    <r>
      <rPr>
        <sz val="10"/>
        <color rgb="FF1A2030"/>
        <rFont val="Noto Sans CJK KR"/>
        <family val="2"/>
      </rPr>
      <t xml:space="preserve">유형</t>
    </r>
    <r>
      <rPr>
        <sz val="10"/>
        <color rgb="FF1A2030"/>
        <rFont val="Arial"/>
        <family val="0"/>
        <charset val="1"/>
      </rPr>
      <t xml:space="preserve">)</t>
    </r>
  </si>
  <si>
    <r>
      <rPr>
        <sz val="10"/>
        <color rgb="FF1A2030"/>
        <rFont val="Arial"/>
        <family val="0"/>
        <charset val="1"/>
      </rPr>
      <t xml:space="preserve">Tier1 </t>
    </r>
    <r>
      <rPr>
        <sz val="10"/>
        <color rgb="FF1A2030"/>
        <rFont val="Noto Sans CJK KR"/>
        <family val="2"/>
      </rPr>
      <t xml:space="preserve">매출</t>
    </r>
  </si>
  <si>
    <r>
      <rPr>
        <sz val="10"/>
        <color rgb="FF1A2030"/>
        <rFont val="Arial"/>
        <family val="0"/>
        <charset val="1"/>
      </rPr>
      <t xml:space="preserve">Tier2 </t>
    </r>
    <r>
      <rPr>
        <sz val="10"/>
        <color rgb="FF1A2030"/>
        <rFont val="Noto Sans CJK KR"/>
        <family val="2"/>
      </rPr>
      <t xml:space="preserve">매출</t>
    </r>
  </si>
  <si>
    <r>
      <rPr>
        <sz val="10"/>
        <color rgb="FF1A2030"/>
        <rFont val="Arial"/>
        <family val="0"/>
        <charset val="1"/>
      </rPr>
      <t xml:space="preserve">Tier3 </t>
    </r>
    <r>
      <rPr>
        <sz val="10"/>
        <color rgb="FF1A2030"/>
        <rFont val="Noto Sans CJK KR"/>
        <family val="2"/>
      </rPr>
      <t xml:space="preserve">매출</t>
    </r>
  </si>
  <si>
    <t xml:space="preserve">총 매출 Gross</t>
  </si>
  <si>
    <t xml:space="preserve">▶ 월 순 수익 (M12)</t>
  </si>
  <si>
    <t xml:space="preserve">★ 연간 순 수익</t>
  </si>
  <si>
    <t xml:space="preserve">💰 원화 환산 (₩1,400/$1)</t>
  </si>
  <si>
    <t xml:space="preserve">월 순 수익 (₩)</t>
  </si>
  <si>
    <t xml:space="preserve">연간 순 수익 (₩)</t>
  </si>
  <si>
    <t xml:space="preserve">⚡ 전략 인사이트</t>
  </si>
  <si>
    <t xml:space="preserve">✅ 무료 진단 → 무료 개요 리포트 → Hotmart 링크 — 광고비 0원 퍼널. 이메일 리스트가 자산.</t>
  </si>
  <si>
    <r>
      <rPr>
        <sz val="10"/>
        <color rgb="FF1A2030"/>
        <rFont val="Arial"/>
        <family val="0"/>
        <charset val="1"/>
      </rPr>
      <t xml:space="preserve">✅ Tier1 </t>
    </r>
    <r>
      <rPr>
        <sz val="10"/>
        <color rgb="FF1A2030"/>
        <rFont val="Noto Sans CJK KR"/>
        <family val="2"/>
      </rPr>
      <t xml:space="preserve">제휴 </t>
    </r>
    <r>
      <rPr>
        <sz val="10"/>
        <color rgb="FF1A2030"/>
        <rFont val="Arial"/>
        <family val="0"/>
        <charset val="1"/>
      </rPr>
      <t xml:space="preserve">70% — </t>
    </r>
    <r>
      <rPr>
        <sz val="10"/>
        <color rgb="FF1A2030"/>
        <rFont val="Noto Sans CJK KR"/>
        <family val="2"/>
      </rPr>
      <t xml:space="preserve">제휴사가 </t>
    </r>
    <r>
      <rPr>
        <sz val="10"/>
        <color rgb="FF1A2030"/>
        <rFont val="Arial"/>
        <family val="0"/>
        <charset val="1"/>
      </rPr>
      <t xml:space="preserve">$6.30 </t>
    </r>
    <r>
      <rPr>
        <sz val="10"/>
        <color rgb="FF1A2030"/>
        <rFont val="Noto Sans CJK KR"/>
        <family val="2"/>
      </rPr>
      <t xml:space="preserve">받음</t>
    </r>
    <r>
      <rPr>
        <sz val="10"/>
        <color rgb="FF1A2030"/>
        <rFont val="Arial"/>
        <family val="0"/>
        <charset val="1"/>
      </rPr>
      <t xml:space="preserve">. '</t>
    </r>
    <r>
      <rPr>
        <sz val="10"/>
        <color rgb="FF1A2030"/>
        <rFont val="Noto Sans CJK KR"/>
        <family val="2"/>
      </rPr>
      <t xml:space="preserve">이게 말이 돼</t>
    </r>
    <r>
      <rPr>
        <sz val="10"/>
        <color rgb="FF1A2030"/>
        <rFont val="Arial"/>
        <family val="0"/>
        <charset val="1"/>
      </rPr>
      <t xml:space="preserve">?' </t>
    </r>
    <r>
      <rPr>
        <sz val="10"/>
        <color rgb="FF1A2030"/>
        <rFont val="Noto Sans CJK KR"/>
        <family val="2"/>
      </rPr>
      <t xml:space="preserve">싶어서 더 적극 홍보함</t>
    </r>
    <r>
      <rPr>
        <sz val="10"/>
        <color rgb="FF1A2030"/>
        <rFont val="Arial"/>
        <family val="0"/>
        <charset val="1"/>
      </rPr>
      <t xml:space="preserve">.</t>
    </r>
  </si>
  <si>
    <r>
      <rPr>
        <sz val="10"/>
        <color rgb="FF1A2030"/>
        <rFont val="Arial"/>
        <family val="0"/>
        <charset val="1"/>
      </rPr>
      <t xml:space="preserve">✅ Tier2($24)</t>
    </r>
    <r>
      <rPr>
        <sz val="10"/>
        <color rgb="FF1A2030"/>
        <rFont val="Noto Sans CJK KR"/>
        <family val="2"/>
      </rPr>
      <t xml:space="preserve">가 주력 — </t>
    </r>
    <r>
      <rPr>
        <sz val="10"/>
        <color rgb="FF1A2030"/>
        <rFont val="Arial"/>
        <family val="0"/>
        <charset val="1"/>
      </rPr>
      <t xml:space="preserve">Tier1 </t>
    </r>
    <r>
      <rPr>
        <sz val="10"/>
        <color rgb="FF1A2030"/>
        <rFont val="Noto Sans CJK KR"/>
        <family val="2"/>
      </rPr>
      <t xml:space="preserve">포함이라 </t>
    </r>
    <r>
      <rPr>
        <sz val="10"/>
        <color rgb="FF1A2030"/>
        <rFont val="Arial"/>
        <family val="0"/>
        <charset val="1"/>
      </rPr>
      <t xml:space="preserve">'</t>
    </r>
    <r>
      <rPr>
        <sz val="10"/>
        <color rgb="FF1A2030"/>
        <rFont val="Noto Sans CJK KR"/>
        <family val="2"/>
      </rPr>
      <t xml:space="preserve">더 나은 선택</t>
    </r>
    <r>
      <rPr>
        <sz val="10"/>
        <color rgb="FF1A2030"/>
        <rFont val="Arial"/>
        <family val="0"/>
        <charset val="1"/>
      </rPr>
      <t xml:space="preserve">' </t>
    </r>
    <r>
      <rPr>
        <sz val="10"/>
        <color rgb="FF1A2030"/>
        <rFont val="Noto Sans CJK KR"/>
        <family val="2"/>
      </rPr>
      <t xml:space="preserve">자연 유도</t>
    </r>
    <r>
      <rPr>
        <sz val="10"/>
        <color rgb="FF1A2030"/>
        <rFont val="Arial"/>
        <family val="0"/>
        <charset val="1"/>
      </rPr>
      <t xml:space="preserve">. </t>
    </r>
    <r>
      <rPr>
        <sz val="10"/>
        <color rgb="FF1A2030"/>
        <rFont val="Noto Sans CJK KR"/>
        <family val="2"/>
      </rPr>
      <t xml:space="preserve">제휴사도 </t>
    </r>
    <r>
      <rPr>
        <sz val="10"/>
        <color rgb="FF1A2030"/>
        <rFont val="Arial"/>
        <family val="0"/>
        <charset val="1"/>
      </rPr>
      <t xml:space="preserve">$10.56/</t>
    </r>
    <r>
      <rPr>
        <sz val="10"/>
        <color rgb="FF1A2030"/>
        <rFont val="Noto Sans CJK KR"/>
        <family val="2"/>
      </rPr>
      <t xml:space="preserve">건</t>
    </r>
    <r>
      <rPr>
        <sz val="10"/>
        <color rgb="FF1A2030"/>
        <rFont val="Arial"/>
        <family val="0"/>
        <charset val="1"/>
      </rPr>
      <t xml:space="preserve">.</t>
    </r>
  </si>
  <si>
    <r>
      <rPr>
        <sz val="10"/>
        <color rgb="FF1A2030"/>
        <rFont val="Arial"/>
        <family val="0"/>
        <charset val="1"/>
      </rPr>
      <t xml:space="preserve">✅ 8</t>
    </r>
    <r>
      <rPr>
        <sz val="10"/>
        <color rgb="FF1A2030"/>
        <rFont val="Noto Sans CJK KR"/>
        <family val="2"/>
      </rPr>
      <t xml:space="preserve">유형 완전판 — 유형 추가할수록 선형 매출 증가</t>
    </r>
    <r>
      <rPr>
        <sz val="10"/>
        <color rgb="FF1A2030"/>
        <rFont val="Arial"/>
        <family val="0"/>
        <charset val="1"/>
      </rPr>
      <t xml:space="preserve">. SPARK+VISION(2</t>
    </r>
    <r>
      <rPr>
        <sz val="10"/>
        <color rgb="FF1A2030"/>
        <rFont val="Noto Sans CJK KR"/>
        <family val="2"/>
      </rPr>
      <t xml:space="preserve">유형</t>
    </r>
    <r>
      <rPr>
        <sz val="10"/>
        <color rgb="FF1A2030"/>
        <rFont val="Arial"/>
        <family val="0"/>
        <charset val="1"/>
      </rPr>
      <t xml:space="preserve">)</t>
    </r>
    <r>
      <rPr>
        <sz val="10"/>
        <color rgb="FF1A2030"/>
        <rFont val="Noto Sans CJK KR"/>
        <family val="2"/>
      </rPr>
      <t xml:space="preserve">도 지금 바로 런칭 가능</t>
    </r>
    <r>
      <rPr>
        <sz val="10"/>
        <color rgb="FF1A2030"/>
        <rFont val="Arial"/>
        <family val="0"/>
        <charset val="1"/>
      </rPr>
      <t xml:space="preserve">.</t>
    </r>
  </si>
  <si>
    <t xml:space="preserve">⚠ 드림 시나리오 월 진단 10만 명 — Shadowgram 진단 페이지 + loveTWO 바이럴 + 스페인어판 필수.</t>
  </si>
  <si>
    <r>
      <rPr>
        <b val="true"/>
        <sz val="13"/>
        <color rgb="FFFFFFFF"/>
        <rFont val="Arial"/>
        <family val="0"/>
        <charset val="1"/>
      </rPr>
      <t xml:space="preserve">🌟 8</t>
    </r>
    <r>
      <rPr>
        <b val="true"/>
        <sz val="13"/>
        <color rgb="FFFFFFFF"/>
        <rFont val="Noto Sans CJK KR"/>
        <family val="2"/>
      </rPr>
      <t xml:space="preserve">유형 </t>
    </r>
    <r>
      <rPr>
        <b val="true"/>
        <sz val="13"/>
        <color rgb="FFFFFFFF"/>
        <rFont val="Arial"/>
        <family val="0"/>
        <charset val="1"/>
      </rPr>
      <t xml:space="preserve">× 3</t>
    </r>
    <r>
      <rPr>
        <b val="true"/>
        <sz val="13"/>
        <color rgb="FFFFFFFF"/>
        <rFont val="Noto Sans CJK KR"/>
        <family val="2"/>
      </rPr>
      <t xml:space="preserve">티어 손익 대시보드 — 유형별 월 매출 </t>
    </r>
    <r>
      <rPr>
        <b val="true"/>
        <sz val="13"/>
        <color rgb="FFFFFFFF"/>
        <rFont val="Arial"/>
        <family val="0"/>
        <charset val="1"/>
      </rPr>
      <t xml:space="preserve">&amp; </t>
    </r>
    <r>
      <rPr>
        <b val="true"/>
        <sz val="13"/>
        <color rgb="FFFFFFFF"/>
        <rFont val="Noto Sans CJK KR"/>
        <family val="2"/>
      </rPr>
      <t xml:space="preserve">순 수익 </t>
    </r>
    <r>
      <rPr>
        <b val="true"/>
        <sz val="13"/>
        <color rgb="FFFFFFFF"/>
        <rFont val="Arial"/>
        <family val="0"/>
        <charset val="1"/>
      </rPr>
      <t xml:space="preserve">(M1 </t>
    </r>
    <r>
      <rPr>
        <b val="true"/>
        <sz val="13"/>
        <color rgb="FFFFFFFF"/>
        <rFont val="Noto Sans CJK KR"/>
        <family val="2"/>
      </rPr>
      <t xml:space="preserve">기준</t>
    </r>
    <r>
      <rPr>
        <b val="true"/>
        <sz val="13"/>
        <color rgb="FFFFFFFF"/>
        <rFont val="Arial"/>
        <family val="0"/>
        <charset val="1"/>
      </rPr>
      <t xml:space="preserve">)</t>
    </r>
  </si>
  <si>
    <t xml:space="preserve">가정값 시트 전환율 기준 · 각 유형 독립 계산 · 수량/단가 파란색 셀 직접 수정 가능</t>
  </si>
  <si>
    <t xml:space="preserve">유형</t>
  </si>
  <si>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수량</t>
    </r>
  </si>
  <si>
    <r>
      <rPr>
        <b val="true"/>
        <sz val="10"/>
        <color rgb="FFFFFFFF"/>
        <rFont val="Arial"/>
        <family val="0"/>
        <charset val="1"/>
      </rPr>
      <t xml:space="preserve">T2 </t>
    </r>
    <r>
      <rPr>
        <b val="true"/>
        <sz val="10"/>
        <color rgb="FFFFFFFF"/>
        <rFont val="Noto Sans CJK KR"/>
        <family val="2"/>
      </rPr>
      <t xml:space="preserve">수량</t>
    </r>
  </si>
  <si>
    <r>
      <rPr>
        <b val="true"/>
        <sz val="10"/>
        <color rgb="FFFFFFFF"/>
        <rFont val="Arial"/>
        <family val="0"/>
        <charset val="1"/>
      </rPr>
      <t xml:space="preserve">T3 </t>
    </r>
    <r>
      <rPr>
        <b val="true"/>
        <sz val="10"/>
        <color rgb="FFFFFFFF"/>
        <rFont val="Noto Sans CJK KR"/>
        <family val="2"/>
      </rPr>
      <t xml:space="preserve">수량</t>
    </r>
  </si>
  <si>
    <r>
      <rPr>
        <b val="true"/>
        <sz val="10"/>
        <color rgb="FFFFFFFF"/>
        <rFont val="Arial"/>
        <family val="0"/>
        <charset val="1"/>
      </rPr>
      <t xml:space="preserve">T1 </t>
    </r>
    <r>
      <rPr>
        <b val="true"/>
        <sz val="10"/>
        <color rgb="FFFFFFFF"/>
        <rFont val="Noto Sans CJK KR"/>
        <family val="2"/>
      </rPr>
      <t xml:space="preserve">매출</t>
    </r>
  </si>
  <si>
    <r>
      <rPr>
        <b val="true"/>
        <sz val="10"/>
        <color rgb="FFFFFFFF"/>
        <rFont val="Arial"/>
        <family val="0"/>
        <charset val="1"/>
      </rPr>
      <t xml:space="preserve">T2 </t>
    </r>
    <r>
      <rPr>
        <b val="true"/>
        <sz val="10"/>
        <color rgb="FFFFFFFF"/>
        <rFont val="Noto Sans CJK KR"/>
        <family val="2"/>
      </rPr>
      <t xml:space="preserve">매출</t>
    </r>
  </si>
  <si>
    <r>
      <rPr>
        <b val="true"/>
        <sz val="10"/>
        <color rgb="FFFFFFFF"/>
        <rFont val="Arial"/>
        <family val="0"/>
        <charset val="1"/>
      </rPr>
      <t xml:space="preserve">T3 </t>
    </r>
    <r>
      <rPr>
        <b val="true"/>
        <sz val="10"/>
        <color rgb="FFFFFFFF"/>
        <rFont val="Noto Sans CJK KR"/>
        <family val="2"/>
      </rPr>
      <t xml:space="preserve">매출</t>
    </r>
  </si>
  <si>
    <r>
      <rPr>
        <b val="true"/>
        <sz val="10"/>
        <color rgb="FFFFFFFF"/>
        <rFont val="Arial"/>
        <family val="0"/>
        <charset val="1"/>
      </rPr>
      <t xml:space="preserve">Gross </t>
    </r>
    <r>
      <rPr>
        <b val="true"/>
        <sz val="10"/>
        <color rgb="FFFFFFFF"/>
        <rFont val="Noto Sans CJK KR"/>
        <family val="2"/>
      </rPr>
      <t xml:space="preserve">합계</t>
    </r>
  </si>
  <si>
    <r>
      <rPr>
        <b val="true"/>
        <sz val="10"/>
        <color rgb="FFFFFFFF"/>
        <rFont val="Arial"/>
        <family val="0"/>
        <charset val="1"/>
      </rPr>
      <t xml:space="preserve">Hotmart </t>
    </r>
    <r>
      <rPr>
        <b val="true"/>
        <sz val="10"/>
        <color rgb="FFFFFFFF"/>
        <rFont val="Noto Sans CJK KR"/>
        <family val="2"/>
      </rPr>
      <t xml:space="preserve">차감 </t>
    </r>
    <r>
      <rPr>
        <b val="true"/>
        <sz val="10"/>
        <color rgb="FFFFFFFF"/>
        <rFont val="Arial"/>
        <family val="0"/>
        <charset val="1"/>
      </rPr>
      <t xml:space="preserve">(T1:20%·T2/T3:9.9%+$0.50)</t>
    </r>
  </si>
  <si>
    <t xml:space="preserve">제휴 차감 (순액 기준)</t>
  </si>
  <si>
    <t xml:space="preserve">순 수익</t>
  </si>
  <si>
    <t xml:space="preserve">SPARK</t>
  </si>
  <si>
    <t xml:space="preserve">STEADY</t>
  </si>
  <si>
    <t xml:space="preserve">PLAYER</t>
  </si>
  <si>
    <t xml:space="preserve">VISION</t>
  </si>
  <si>
    <t xml:space="preserve">LOGIC</t>
  </si>
  <si>
    <t xml:space="preserve">HARMONY</t>
  </si>
  <si>
    <t xml:space="preserve">LEADER</t>
  </si>
  <si>
    <t xml:space="preserve">SOUL</t>
  </si>
  <si>
    <r>
      <rPr>
        <b val="true"/>
        <sz val="10"/>
        <color rgb="FFFFFFFF"/>
        <rFont val="Arial"/>
        <family val="0"/>
        <charset val="1"/>
      </rPr>
      <t xml:space="preserve">8</t>
    </r>
    <r>
      <rPr>
        <b val="true"/>
        <sz val="10"/>
        <color rgb="FFFFFFFF"/>
        <rFont val="Noto Sans CJK KR"/>
        <family val="2"/>
      </rPr>
      <t xml:space="preserve">유형 합계</t>
    </r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</si>
</sst>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;\(#,##0\);\-"/>
    <numFmt numFmtId="167" formatCode="0.0%;\-0.0%;\-"/>
    <numFmt numFmtId="168" formatCode="\$#,##0.00;&quot;($&quot;#,##0.00\);\-"/>
    <numFmt numFmtId="169" formatCode="#,##0\₩"/>
    <numFmt numFmtId="170" formatCode="#,##0.0;\(#,##0.0\);\-"/>
  </numFmts>
  <fonts count="4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3"/>
      <color rgb="FFFFFFFF"/>
      <name val="Noto Sans CJK KR"/>
      <family val="2"/>
    </font>
    <font>
      <sz val="9"/>
      <color rgb="FF1A2030"/>
      <name val="Noto Sans CJK KR"/>
      <family val="2"/>
      <charset val="1"/>
    </font>
    <font>
      <b val="true"/>
      <sz val="10"/>
      <color rgb="FFFFFFFF"/>
      <name val="Noto Sans CJK KR"/>
      <family val="2"/>
      <charset val="1"/>
    </font>
    <font>
      <sz val="10"/>
      <color rgb="FF1A2030"/>
      <name val="Arial"/>
      <family val="0"/>
      <charset val="1"/>
    </font>
    <font>
      <sz val="10"/>
      <color rgb="FF1A2030"/>
      <name val="Noto Sans CJK KR"/>
      <family val="2"/>
    </font>
    <font>
      <sz val="10"/>
      <color rgb="FF0000FF"/>
      <name val="Arial"/>
      <family val="0"/>
      <charset val="1"/>
    </font>
    <font>
      <sz val="9"/>
      <color rgb="FF888888"/>
      <name val="Arial"/>
      <family val="0"/>
      <charset val="1"/>
    </font>
    <font>
      <sz val="9"/>
      <color rgb="FF888888"/>
      <name val="Noto Sans CJK KR"/>
      <family val="2"/>
    </font>
    <font>
      <b val="true"/>
      <sz val="10"/>
      <color rgb="FF1A2030"/>
      <name val="Noto Sans CJK KR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KR"/>
      <family val="2"/>
    </font>
    <font>
      <sz val="10"/>
      <color rgb="FF1A2030"/>
      <name val="Noto Sans CJK KR"/>
      <family val="2"/>
      <charset val="1"/>
    </font>
    <font>
      <sz val="9"/>
      <color rgb="FF888888"/>
      <name val="Noto Sans CJK KR"/>
      <family val="2"/>
      <charset val="1"/>
    </font>
    <font>
      <b val="true"/>
      <sz val="11"/>
      <name val="Noto Sans CJK KR"/>
      <family val="2"/>
      <charset val="1"/>
    </font>
    <font>
      <sz val="10"/>
      <name val="Arial"/>
      <family val="0"/>
      <charset val="1"/>
    </font>
    <font>
      <sz val="11"/>
      <color theme="1"/>
      <name val="Noto Sans CJK KR"/>
      <family val="2"/>
      <charset val="1"/>
    </font>
    <font>
      <sz val="10"/>
      <color rgb="FF000000"/>
      <name val="Arial"/>
      <family val="0"/>
      <charset val="1"/>
    </font>
    <font>
      <b val="true"/>
      <sz val="10"/>
      <color rgb="FF0D7377"/>
      <name val="Arial"/>
      <family val="0"/>
      <charset val="1"/>
    </font>
    <font>
      <b val="true"/>
      <sz val="10"/>
      <color rgb="FF1A2030"/>
      <name val="Arial"/>
      <family val="0"/>
      <charset val="1"/>
    </font>
    <font>
      <sz val="9"/>
      <color rgb="FF0D7377"/>
      <name val="Noto Sans CJK KR"/>
      <family val="2"/>
      <charset val="1"/>
    </font>
    <font>
      <sz val="11"/>
      <color theme="1"/>
      <name val="Noto Sans CJK KR"/>
      <family val="2"/>
    </font>
    <font>
      <b val="true"/>
      <sz val="13"/>
      <color rgb="FFFFFFFF"/>
      <name val="Noto Sans CJK KR"/>
      <family val="2"/>
      <charset val="1"/>
    </font>
    <font>
      <sz val="10"/>
      <color rgb="FF888888"/>
      <name val="Noto Sans CJK KR"/>
      <family val="2"/>
      <charset val="1"/>
    </font>
    <font>
      <b val="true"/>
      <sz val="10"/>
      <color rgb="FF0D7377"/>
      <name val="Noto Sans CJK KR"/>
      <family val="2"/>
      <charset val="1"/>
    </font>
    <font>
      <sz val="10"/>
      <color rgb="FF666666"/>
      <name val="Noto Sans CJK KR"/>
      <family val="2"/>
      <charset val="1"/>
    </font>
    <font>
      <sz val="10"/>
      <color rgb="FFCC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1A2030"/>
      <name val="Noto Sans CJK KR"/>
      <family val="2"/>
    </font>
    <font>
      <b val="true"/>
      <sz val="11"/>
      <color rgb="FFCC0000"/>
      <name val="Arial"/>
      <family val="0"/>
      <charset val="1"/>
    </font>
    <font>
      <sz val="10"/>
      <color rgb="FFB8860B"/>
      <name val="Noto Sans CJK KR"/>
      <family val="2"/>
      <charset val="1"/>
    </font>
    <font>
      <b val="true"/>
      <sz val="10"/>
      <color rgb="FFB8860B"/>
      <name val="Noto Sans CJK KR"/>
      <family val="2"/>
      <charset val="1"/>
    </font>
    <font>
      <b val="true"/>
      <sz val="11"/>
      <color rgb="FFB8860B"/>
      <name val="Arial"/>
      <family val="0"/>
      <charset val="1"/>
    </font>
    <font>
      <sz val="9"/>
      <color rgb="FF1A2030"/>
      <name val="Arial"/>
      <family val="0"/>
      <charset val="1"/>
    </font>
    <font>
      <sz val="9"/>
      <color rgb="FF1A2030"/>
      <name val="Noto Sans CJK KR"/>
      <family val="2"/>
    </font>
    <font>
      <b val="true"/>
      <sz val="11"/>
      <color rgb="FFFFFFFF"/>
      <name val="Noto Sans CJK KR"/>
      <family val="2"/>
      <charset val="1"/>
    </font>
    <font>
      <b val="true"/>
      <sz val="11"/>
      <color rgb="FF888888"/>
      <name val="Arial"/>
      <family val="0"/>
      <charset val="1"/>
    </font>
    <font>
      <b val="true"/>
      <sz val="11"/>
      <color rgb="FF0D7377"/>
      <name val="Arial"/>
      <family val="0"/>
      <charset val="1"/>
    </font>
    <font>
      <b val="true"/>
      <sz val="11"/>
      <color rgb="FF2E86AB"/>
      <name val="Arial"/>
      <family val="0"/>
      <charset val="1"/>
    </font>
  </fonts>
  <fills count="19">
    <fill>
      <patternFill patternType="none"/>
    </fill>
    <fill>
      <patternFill patternType="gray125"/>
    </fill>
    <fill>
      <patternFill patternType="solid">
        <fgColor rgb="FF1A2030"/>
        <bgColor rgb="FF333300"/>
      </patternFill>
    </fill>
    <fill>
      <patternFill patternType="solid">
        <fgColor rgb="FFFEF3E2"/>
        <bgColor rgb="FFFEF9E7"/>
      </patternFill>
    </fill>
    <fill>
      <patternFill patternType="solid">
        <fgColor rgb="FF0D7377"/>
        <bgColor rgb="FF2E86AB"/>
      </patternFill>
    </fill>
    <fill>
      <patternFill patternType="solid">
        <fgColor rgb="FFF4F6F8"/>
        <bgColor rgb="FFFEF9E7"/>
      </patternFill>
    </fill>
    <fill>
      <patternFill patternType="solid">
        <fgColor rgb="FFFFFFFF"/>
        <bgColor rgb="FFFEF9E7"/>
      </patternFill>
    </fill>
    <fill>
      <patternFill patternType="solid">
        <fgColor rgb="FFFFFF00"/>
        <bgColor rgb="FFFFFF00"/>
      </patternFill>
    </fill>
    <fill>
      <patternFill patternType="solid">
        <fgColor rgb="FFE0F5F5"/>
        <bgColor rgb="FFF4F6F8"/>
      </patternFill>
    </fill>
    <fill>
      <patternFill patternType="solid">
        <fgColor rgb="FFFEF9E7"/>
        <bgColor rgb="FFFEF3E2"/>
      </patternFill>
    </fill>
    <fill>
      <patternFill patternType="solid">
        <fgColor rgb="FF888888"/>
        <bgColor rgb="FF969696"/>
      </patternFill>
    </fill>
    <fill>
      <patternFill patternType="solid">
        <fgColor rgb="FF2E86AB"/>
        <bgColor rgb="FF16A085"/>
      </patternFill>
    </fill>
    <fill>
      <patternFill patternType="solid">
        <fgColor rgb="FFB8860B"/>
        <bgColor rgb="FFE67E22"/>
      </patternFill>
    </fill>
    <fill>
      <patternFill patternType="solid">
        <fgColor rgb="FF3D8B37"/>
        <bgColor rgb="FF16A085"/>
      </patternFill>
    </fill>
    <fill>
      <patternFill patternType="solid">
        <fgColor rgb="FFE67E22"/>
        <bgColor rgb="FFF39C12"/>
      </patternFill>
    </fill>
    <fill>
      <patternFill patternType="solid">
        <fgColor rgb="FF8E44AD"/>
        <bgColor rgb="FF993366"/>
      </patternFill>
    </fill>
    <fill>
      <patternFill patternType="solid">
        <fgColor rgb="FFC0392B"/>
        <bgColor rgb="FF993366"/>
      </patternFill>
    </fill>
    <fill>
      <patternFill patternType="solid">
        <fgColor rgb="FFF39C12"/>
        <bgColor rgb="FFE67E22"/>
      </patternFill>
    </fill>
    <fill>
      <patternFill patternType="solid">
        <fgColor rgb="FF16A085"/>
        <bgColor rgb="FF2E86AB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23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4" fillId="8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1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2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3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3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1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43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1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2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43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37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1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31" fillId="1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31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1" fillId="1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31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3D8B37"/>
      <rgbColor rgb="FF000080"/>
      <rgbColor rgb="FFB8860B"/>
      <rgbColor rgb="FF800080"/>
      <rgbColor rgb="FF0D7377"/>
      <rgbColor rgb="FFCCCCCC"/>
      <rgbColor rgb="FF888888"/>
      <rgbColor rgb="FF9999FF"/>
      <rgbColor rgb="FF8E44AD"/>
      <rgbColor rgb="FFFEF9E7"/>
      <rgbColor rgb="FFE0F5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E86AB"/>
      <rgbColor rgb="FF0000FF"/>
      <rgbColor rgb="FF00CCFF"/>
      <rgbColor rgb="FFF4F6F8"/>
      <rgbColor rgb="FFCCFFCC"/>
      <rgbColor rgb="FFFEF3E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39C12"/>
      <rgbColor rgb="FFE67E22"/>
      <rgbColor rgb="FF666666"/>
      <rgbColor rgb="FF969696"/>
      <rgbColor rgb="FF003366"/>
      <rgbColor rgb="FF16A085"/>
      <rgbColor rgb="FF003300"/>
      <rgbColor rgb="FF333300"/>
      <rgbColor rgb="FFC0392B"/>
      <rgbColor rgb="FF993366"/>
      <rgbColor rgb="FF333399"/>
      <rgbColor rgb="FF1A20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6"/>
    <col collapsed="false" customWidth="true" hidden="false" outlineLevel="0" max="3" min="3" style="1" width="38"/>
  </cols>
  <sheetData>
    <row r="1" customFormat="false" ht="27.7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3" customFormat="false" ht="7.5" hidden="false" customHeight="true" outlineLevel="0" collapsed="false"/>
    <row r="4" customFormat="false" ht="21.75" hidden="false" customHeight="true" outlineLevel="0" collapsed="false">
      <c r="A4" s="4" t="s">
        <v>2</v>
      </c>
    </row>
    <row r="5" customFormat="false" ht="18" hidden="false" customHeight="true" outlineLevel="0" collapsed="false">
      <c r="A5" s="5" t="s">
        <v>3</v>
      </c>
      <c r="B5" s="6" t="n">
        <v>15</v>
      </c>
      <c r="C5" s="7" t="s">
        <v>4</v>
      </c>
    </row>
    <row r="6" customFormat="false" ht="18" hidden="false" customHeight="true" outlineLevel="0" collapsed="false">
      <c r="A6" s="8" t="s">
        <v>5</v>
      </c>
      <c r="B6" s="9" t="n">
        <v>24</v>
      </c>
      <c r="C6" s="7" t="s">
        <v>6</v>
      </c>
    </row>
    <row r="7" customFormat="false" ht="18" hidden="false" customHeight="true" outlineLevel="0" collapsed="false">
      <c r="A7" s="5" t="s">
        <v>7</v>
      </c>
      <c r="B7" s="6" t="n">
        <v>29</v>
      </c>
      <c r="C7" s="7" t="s">
        <v>8</v>
      </c>
    </row>
    <row r="8" customFormat="false" ht="18" hidden="false" customHeight="true" outlineLevel="0" collapsed="false">
      <c r="A8" s="10" t="s">
        <v>9</v>
      </c>
      <c r="B8" s="6" t="n">
        <v>0</v>
      </c>
      <c r="C8" s="7" t="s">
        <v>10</v>
      </c>
    </row>
    <row r="10" customFormat="false" ht="21.75" hidden="false" customHeight="true" outlineLevel="0" collapsed="false">
      <c r="A10" s="11" t="s">
        <v>11</v>
      </c>
    </row>
    <row r="11" customFormat="false" ht="18" hidden="false" customHeight="true" outlineLevel="0" collapsed="false">
      <c r="A11" s="12" t="s">
        <v>12</v>
      </c>
      <c r="B11" s="13" t="n">
        <v>5000</v>
      </c>
      <c r="C11" s="14" t="s">
        <v>13</v>
      </c>
    </row>
    <row r="12" customFormat="false" ht="18" hidden="false" customHeight="true" outlineLevel="0" collapsed="false">
      <c r="A12" s="15" t="s">
        <v>14</v>
      </c>
      <c r="B12" s="16" t="n">
        <v>0.6</v>
      </c>
      <c r="C12" s="14" t="s">
        <v>15</v>
      </c>
    </row>
    <row r="13" customFormat="false" ht="18" hidden="false" customHeight="true" outlineLevel="0" collapsed="false">
      <c r="A13" s="12" t="s">
        <v>16</v>
      </c>
      <c r="B13" s="17" t="n">
        <v>0.08</v>
      </c>
      <c r="C13" s="14" t="s">
        <v>17</v>
      </c>
    </row>
    <row r="14" customFormat="false" ht="18" hidden="false" customHeight="true" outlineLevel="0" collapsed="false">
      <c r="A14" s="8" t="s">
        <v>18</v>
      </c>
      <c r="B14" s="16" t="n">
        <v>0.4</v>
      </c>
      <c r="C14" s="7" t="s">
        <v>19</v>
      </c>
    </row>
    <row r="15" customFormat="false" ht="18" hidden="false" customHeight="true" outlineLevel="0" collapsed="false">
      <c r="A15" s="5" t="s">
        <v>20</v>
      </c>
      <c r="B15" s="16" t="n">
        <v>0.25</v>
      </c>
      <c r="C15" s="14" t="s">
        <v>21</v>
      </c>
    </row>
    <row r="16" customFormat="false" ht="18" hidden="false" customHeight="true" outlineLevel="0" collapsed="false">
      <c r="A16" s="15" t="s">
        <v>22</v>
      </c>
      <c r="B16" s="17" t="n">
        <v>0.2</v>
      </c>
      <c r="C16" s="14" t="s">
        <v>23</v>
      </c>
    </row>
    <row r="18" customFormat="false" ht="21.75" hidden="false" customHeight="true" outlineLevel="0" collapsed="false">
      <c r="A18" s="4" t="s">
        <v>24</v>
      </c>
    </row>
    <row r="19" customFormat="false" ht="18" hidden="false" customHeight="true" outlineLevel="0" collapsed="false">
      <c r="A19" s="18" t="s">
        <v>25</v>
      </c>
      <c r="B19" s="17" t="n">
        <v>0.2</v>
      </c>
      <c r="C19" s="19" t="s">
        <v>26</v>
      </c>
    </row>
    <row r="20" customFormat="false" ht="18" hidden="false" customHeight="true" outlineLevel="0" collapsed="false">
      <c r="A20" s="20" t="s">
        <v>27</v>
      </c>
      <c r="B20" s="16" t="n">
        <v>0.099</v>
      </c>
      <c r="C20" s="19" t="s">
        <v>28</v>
      </c>
    </row>
    <row r="21" customFormat="false" ht="18" hidden="false" customHeight="true" outlineLevel="0" collapsed="false">
      <c r="A21" s="18" t="s">
        <v>29</v>
      </c>
      <c r="B21" s="16" t="n">
        <v>0.099</v>
      </c>
      <c r="C21" s="19" t="s">
        <v>28</v>
      </c>
    </row>
    <row r="22" customFormat="false" ht="18" hidden="false" customHeight="true" outlineLevel="0" collapsed="false">
      <c r="A22" s="20" t="s">
        <v>30</v>
      </c>
      <c r="B22" s="21" t="n">
        <v>0.5</v>
      </c>
      <c r="C22" s="19" t="s">
        <v>31</v>
      </c>
    </row>
    <row r="23" customFormat="false" ht="18" hidden="false" customHeight="true" outlineLevel="0" collapsed="false">
      <c r="A23" s="22" t="s">
        <v>32</v>
      </c>
      <c r="B23" s="17" t="n">
        <v>0.7</v>
      </c>
      <c r="C23" s="19" t="s">
        <v>33</v>
      </c>
    </row>
    <row r="24" customFormat="false" ht="18" hidden="false" customHeight="true" outlineLevel="0" collapsed="false">
      <c r="A24" s="23" t="s">
        <v>34</v>
      </c>
      <c r="B24" s="16" t="n">
        <v>0.5</v>
      </c>
      <c r="C24" s="19" t="s">
        <v>35</v>
      </c>
    </row>
    <row r="25" customFormat="false" ht="18" hidden="false" customHeight="true" outlineLevel="0" collapsed="false">
      <c r="A25" s="22" t="s">
        <v>36</v>
      </c>
      <c r="B25" s="16" t="n">
        <v>0.5</v>
      </c>
      <c r="C25" s="19" t="s">
        <v>37</v>
      </c>
    </row>
    <row r="26" customFormat="false" ht="18" hidden="false" customHeight="true" outlineLevel="0" collapsed="false">
      <c r="A26" s="23" t="s">
        <v>38</v>
      </c>
      <c r="B26" s="16" t="n">
        <v>0.25</v>
      </c>
      <c r="C26" s="24" t="s">
        <v>39</v>
      </c>
    </row>
    <row r="27" customFormat="false" ht="15" hidden="false" customHeight="true" outlineLevel="0" collapsed="false">
      <c r="A27" s="25" t="s">
        <v>40</v>
      </c>
      <c r="B27" s="26"/>
      <c r="C27" s="26"/>
    </row>
    <row r="28" customFormat="false" ht="21.75" hidden="false" customHeight="true" outlineLevel="0" collapsed="false">
      <c r="A28" s="4" t="s">
        <v>41</v>
      </c>
      <c r="B28" s="1" t="n">
        <f aca="false">B11*B12/8</f>
        <v>375</v>
      </c>
      <c r="C28" s="27" t="s">
        <v>42</v>
      </c>
    </row>
    <row r="29" customFormat="false" ht="18" hidden="false" customHeight="true" outlineLevel="0" collapsed="false">
      <c r="A29" s="22" t="s">
        <v>43</v>
      </c>
      <c r="B29" s="28" t="n">
        <f aca="false">B28*B13</f>
        <v>30</v>
      </c>
      <c r="C29" s="24" t="s">
        <v>44</v>
      </c>
    </row>
    <row r="30" customFormat="false" ht="18" hidden="false" customHeight="true" outlineLevel="0" collapsed="false">
      <c r="A30" s="23" t="s">
        <v>45</v>
      </c>
      <c r="B30" s="29" t="n">
        <f aca="false">B29*B14</f>
        <v>12</v>
      </c>
      <c r="C30" s="19" t="s">
        <v>46</v>
      </c>
    </row>
    <row r="31" customFormat="false" ht="18" hidden="false" customHeight="true" outlineLevel="0" collapsed="false">
      <c r="A31" s="22" t="s">
        <v>47</v>
      </c>
      <c r="B31" s="28" t="n">
        <f aca="false">B30*B15</f>
        <v>3</v>
      </c>
      <c r="C31" s="19" t="s">
        <v>48</v>
      </c>
    </row>
    <row r="32" customFormat="false" ht="18" hidden="false" customHeight="true" outlineLevel="0" collapsed="false">
      <c r="A32" s="30"/>
      <c r="B32" s="31"/>
      <c r="C32" s="24"/>
    </row>
    <row r="33" customFormat="false" ht="18" hidden="false" customHeight="true" outlineLevel="0" collapsed="false">
      <c r="A33" s="30"/>
      <c r="B33" s="31"/>
      <c r="C33" s="24"/>
    </row>
    <row r="34" customFormat="false" ht="18" hidden="false" customHeight="true" outlineLevel="0" collapsed="false">
      <c r="A34" s="30"/>
      <c r="B34" s="31"/>
      <c r="C34" s="24"/>
    </row>
    <row r="35" customFormat="false" ht="18" hidden="false" customHeight="true" outlineLevel="0" collapsed="false">
      <c r="A35" s="32"/>
      <c r="B35" s="33"/>
      <c r="C35" s="14"/>
    </row>
    <row r="36" customFormat="false" ht="18" hidden="false" customHeight="true" outlineLevel="0" collapsed="false">
      <c r="A36" s="34"/>
      <c r="B36" s="35"/>
      <c r="C36" s="14"/>
    </row>
    <row r="37" customFormat="false" ht="18" hidden="false" customHeight="true" outlineLevel="0" collapsed="false">
      <c r="A37" s="32"/>
      <c r="B37" s="33"/>
      <c r="C37" s="14"/>
    </row>
    <row r="39" customFormat="false" ht="39.75" hidden="false" customHeight="true" outlineLevel="0" collapsed="false">
      <c r="A39" s="36"/>
    </row>
    <row r="42" customFormat="false" ht="15" hidden="false" customHeight="true" outlineLevel="0" collapsed="false">
      <c r="A42" s="37" t="s">
        <v>49</v>
      </c>
    </row>
    <row r="43" customFormat="false" ht="16.5" hidden="false" customHeight="true" outlineLevel="0" collapsed="false">
      <c r="A43" s="1" t="s">
        <v>50</v>
      </c>
      <c r="B43" s="1" t="n">
        <f aca="false">B5*(1-B19)</f>
        <v>12</v>
      </c>
      <c r="C43" s="1" t="s">
        <v>51</v>
      </c>
    </row>
    <row r="44" customFormat="false" ht="16.5" hidden="false" customHeight="true" outlineLevel="0" collapsed="false">
      <c r="A44" s="1" t="s">
        <v>52</v>
      </c>
      <c r="B44" s="1" t="n">
        <f aca="false">B6*(1-B20)-B22</f>
        <v>21.124</v>
      </c>
      <c r="C44" s="1" t="s">
        <v>53</v>
      </c>
    </row>
    <row r="45" customFormat="false" ht="16.5" hidden="false" customHeight="true" outlineLevel="0" collapsed="false">
      <c r="A45" s="1" t="s">
        <v>54</v>
      </c>
      <c r="B45" s="1" t="n">
        <f aca="false">B7*(1-B21)-B22</f>
        <v>25.629</v>
      </c>
      <c r="C45" s="1" t="s">
        <v>55</v>
      </c>
    </row>
    <row r="46" customFormat="false" ht="16.5" hidden="false" customHeight="true" outlineLevel="0" collapsed="false">
      <c r="A46" s="27" t="s">
        <v>56</v>
      </c>
      <c r="B46" s="1" t="n">
        <f aca="false">B43*B23</f>
        <v>8.4</v>
      </c>
      <c r="C46" s="1" t="s">
        <v>57</v>
      </c>
    </row>
    <row r="47" customFormat="false" ht="16.5" hidden="false" customHeight="true" outlineLevel="0" collapsed="false">
      <c r="A47" s="27" t="s">
        <v>58</v>
      </c>
      <c r="B47" s="1" t="n">
        <f aca="false">B44*B24</f>
        <v>10.562</v>
      </c>
      <c r="C47" s="1" t="s">
        <v>59</v>
      </c>
    </row>
    <row r="48" customFormat="false" ht="16.5" hidden="false" customHeight="true" outlineLevel="0" collapsed="false">
      <c r="A48" s="27" t="s">
        <v>60</v>
      </c>
      <c r="B48" s="1" t="n">
        <f aca="false">B45*B25</f>
        <v>12.8145</v>
      </c>
      <c r="C48" s="1" t="s">
        <v>61</v>
      </c>
    </row>
    <row r="49" customFormat="false" ht="16.5" hidden="false" customHeight="true" outlineLevel="0" collapsed="false">
      <c r="A49" s="27" t="s">
        <v>62</v>
      </c>
      <c r="B49" s="1" t="n">
        <f aca="false">B43*(1-B23)</f>
        <v>3.6</v>
      </c>
      <c r="C49" s="1" t="s">
        <v>63</v>
      </c>
    </row>
    <row r="50" customFormat="false" ht="16.5" hidden="false" customHeight="true" outlineLevel="0" collapsed="false">
      <c r="A50" s="27" t="s">
        <v>64</v>
      </c>
      <c r="B50" s="1" t="n">
        <f aca="false">B44*(1-B24)</f>
        <v>10.562</v>
      </c>
      <c r="C50" s="1" t="s">
        <v>59</v>
      </c>
    </row>
    <row r="51" customFormat="false" ht="16.5" hidden="false" customHeight="true" outlineLevel="0" collapsed="false">
      <c r="A51" s="27" t="s">
        <v>65</v>
      </c>
      <c r="B51" s="1" t="n">
        <f aca="false">B45*(1-B25)</f>
        <v>12.8145</v>
      </c>
      <c r="C51" s="1" t="s">
        <v>61</v>
      </c>
    </row>
    <row r="52" customFormat="false" ht="16.5" hidden="false" customHeight="true" outlineLevel="0" collapsed="false">
      <c r="A52" s="27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15" min="3" style="1" width="13"/>
  </cols>
  <sheetData>
    <row r="1" customFormat="false" ht="27.75" hidden="false" customHeight="true" outlineLevel="0" collapsed="false">
      <c r="A1" s="38" t="s">
        <v>67</v>
      </c>
    </row>
    <row r="2" customFormat="false" ht="15.75" hidden="false" customHeight="true" outlineLevel="0" collapsed="false">
      <c r="A2" s="3" t="s">
        <v>68</v>
      </c>
    </row>
    <row r="3" customFormat="false" ht="7.5" hidden="false" customHeight="true" outlineLevel="0" collapsed="false"/>
    <row r="4" customFormat="false" ht="21.75" hidden="false" customHeight="true" outlineLevel="0" collapsed="false">
      <c r="A4" s="39" t="s">
        <v>69</v>
      </c>
      <c r="B4" s="40" t="s">
        <v>70</v>
      </c>
      <c r="C4" s="41" t="s">
        <v>71</v>
      </c>
      <c r="D4" s="41" t="s">
        <v>72</v>
      </c>
      <c r="E4" s="41" t="s">
        <v>73</v>
      </c>
      <c r="F4" s="41" t="s">
        <v>74</v>
      </c>
      <c r="G4" s="41" t="s">
        <v>75</v>
      </c>
      <c r="H4" s="41" t="s">
        <v>76</v>
      </c>
      <c r="I4" s="41" t="s">
        <v>77</v>
      </c>
      <c r="J4" s="41" t="s">
        <v>78</v>
      </c>
      <c r="K4" s="41" t="s">
        <v>79</v>
      </c>
      <c r="L4" s="41" t="s">
        <v>80</v>
      </c>
      <c r="M4" s="41" t="s">
        <v>81</v>
      </c>
      <c r="N4" s="41" t="s">
        <v>82</v>
      </c>
    </row>
    <row r="5" customFormat="false" ht="18" hidden="false" customHeight="true" outlineLevel="0" collapsed="false">
      <c r="A5" s="12" t="s">
        <v>83</v>
      </c>
      <c r="B5" s="42" t="s">
        <v>84</v>
      </c>
      <c r="C5" s="43" t="n">
        <f aca="false">가정값!B11</f>
        <v>5000</v>
      </c>
      <c r="D5" s="43" t="n">
        <f aca="false">가정값!B11*(1+가정값!B16)^1</f>
        <v>6000</v>
      </c>
      <c r="E5" s="43" t="n">
        <f aca="false">가정값!B11*(1+가정값!B16)^2</f>
        <v>7200</v>
      </c>
      <c r="F5" s="43" t="n">
        <f aca="false">가정값!B11*(1+가정값!B16)^3</f>
        <v>8640</v>
      </c>
      <c r="G5" s="43" t="n">
        <f aca="false">가정값!B11*(1+가정값!B16)^4</f>
        <v>10368</v>
      </c>
      <c r="H5" s="43" t="n">
        <f aca="false">가정값!B11*(1+가정값!B16)^5</f>
        <v>12441.6</v>
      </c>
      <c r="I5" s="43" t="n">
        <f aca="false">가정값!B11*(1+가정값!B16)^6</f>
        <v>14929.92</v>
      </c>
      <c r="J5" s="43" t="n">
        <f aca="false">가정값!B11*(1+가정값!B16)^7</f>
        <v>17915.904</v>
      </c>
      <c r="K5" s="43" t="n">
        <f aca="false">가정값!B11*(1+가정값!B16)^8</f>
        <v>21499.0848</v>
      </c>
      <c r="L5" s="43" t="n">
        <f aca="false">가정값!B11*(1+가정값!B16)^9</f>
        <v>25798.90176</v>
      </c>
      <c r="M5" s="43" t="n">
        <f aca="false">가정값!B11*(1+가정값!B16)^10</f>
        <v>30958.682112</v>
      </c>
      <c r="N5" s="43" t="n">
        <f aca="false">가정값!B11*(1+가정값!B16)^11</f>
        <v>37150.4185344</v>
      </c>
    </row>
    <row r="6" customFormat="false" ht="18" hidden="false" customHeight="true" outlineLevel="0" collapsed="false">
      <c r="A6" s="15" t="s">
        <v>85</v>
      </c>
      <c r="B6" s="44" t="s">
        <v>84</v>
      </c>
      <c r="C6" s="45" t="n">
        <f aca="false">C5*가정값!B12</f>
        <v>3000</v>
      </c>
      <c r="D6" s="45" t="n">
        <f aca="false">D5*가정값!B12</f>
        <v>3600</v>
      </c>
      <c r="E6" s="45" t="n">
        <f aca="false">E5*가정값!B12</f>
        <v>4320</v>
      </c>
      <c r="F6" s="45" t="n">
        <f aca="false">F5*가정값!B12</f>
        <v>5184</v>
      </c>
      <c r="G6" s="45" t="n">
        <f aca="false">G5*가정값!B12</f>
        <v>6220.8</v>
      </c>
      <c r="H6" s="45" t="n">
        <f aca="false">H5*가정값!B12</f>
        <v>7464.96</v>
      </c>
      <c r="I6" s="45" t="n">
        <f aca="false">I5*가정값!B12</f>
        <v>8957.952</v>
      </c>
      <c r="J6" s="45" t="n">
        <f aca="false">J5*가정값!B12</f>
        <v>10749.5424</v>
      </c>
      <c r="K6" s="45" t="n">
        <f aca="false">K5*가정값!B12</f>
        <v>12899.45088</v>
      </c>
      <c r="L6" s="45" t="n">
        <f aca="false">L5*가정값!B12</f>
        <v>15479.341056</v>
      </c>
      <c r="M6" s="45" t="n">
        <f aca="false">M5*가정값!B12</f>
        <v>18575.2092672</v>
      </c>
      <c r="N6" s="45" t="n">
        <f aca="false">N5*가정값!B12</f>
        <v>22290.25112064</v>
      </c>
    </row>
    <row r="7" customFormat="false" ht="18" hidden="false" customHeight="true" outlineLevel="0" collapsed="false">
      <c r="A7" s="5" t="s">
        <v>86</v>
      </c>
      <c r="B7" s="42" t="s">
        <v>84</v>
      </c>
      <c r="C7" s="43" t="n">
        <f aca="false">C6*가정값!B13*8</f>
        <v>1920</v>
      </c>
      <c r="D7" s="43" t="n">
        <f aca="false">D6*가정값!B13*8</f>
        <v>2304</v>
      </c>
      <c r="E7" s="43" t="n">
        <f aca="false">E6*가정값!B13*8</f>
        <v>2764.8</v>
      </c>
      <c r="F7" s="43" t="n">
        <f aca="false">F6*가정값!B13*8</f>
        <v>3317.76</v>
      </c>
      <c r="G7" s="43" t="n">
        <f aca="false">G6*가정값!B13*8</f>
        <v>3981.312</v>
      </c>
      <c r="H7" s="43" t="n">
        <f aca="false">H6*가정값!B13*8</f>
        <v>4777.5744</v>
      </c>
      <c r="I7" s="43" t="n">
        <f aca="false">I6*가정값!B13*8</f>
        <v>5733.08928</v>
      </c>
      <c r="J7" s="43" t="n">
        <f aca="false">J6*가정값!B13*8</f>
        <v>6879.707136</v>
      </c>
      <c r="K7" s="43" t="n">
        <f aca="false">K6*가정값!B13*8</f>
        <v>8255.6485632</v>
      </c>
      <c r="L7" s="43" t="n">
        <f aca="false">L6*가정값!B13*8</f>
        <v>9906.77827584</v>
      </c>
      <c r="M7" s="43" t="n">
        <f aca="false">M6*가정값!B13*8</f>
        <v>11888.133931008</v>
      </c>
      <c r="N7" s="43" t="n">
        <f aca="false">N6*가정값!B13*8</f>
        <v>14265.7607172096</v>
      </c>
    </row>
    <row r="8" customFormat="false" ht="18" hidden="false" customHeight="true" outlineLevel="0" collapsed="false">
      <c r="A8" s="8" t="s">
        <v>87</v>
      </c>
      <c r="B8" s="44" t="s">
        <v>84</v>
      </c>
      <c r="C8" s="45" t="n">
        <f aca="false">C7*가정값!B14</f>
        <v>768</v>
      </c>
      <c r="D8" s="45" t="n">
        <f aca="false">D7*가정값!B14</f>
        <v>921.6</v>
      </c>
      <c r="E8" s="45" t="n">
        <f aca="false">E7*가정값!B14</f>
        <v>1105.92</v>
      </c>
      <c r="F8" s="45" t="n">
        <f aca="false">F7*가정값!B14</f>
        <v>1327.104</v>
      </c>
      <c r="G8" s="45" t="n">
        <f aca="false">G7*가정값!B14</f>
        <v>1592.5248</v>
      </c>
      <c r="H8" s="45" t="n">
        <f aca="false">H7*가정값!B14</f>
        <v>1911.02976</v>
      </c>
      <c r="I8" s="45" t="n">
        <f aca="false">I7*가정값!B14</f>
        <v>2293.235712</v>
      </c>
      <c r="J8" s="45" t="n">
        <f aca="false">J7*가정값!B14</f>
        <v>2751.8828544</v>
      </c>
      <c r="K8" s="45" t="n">
        <f aca="false">K7*가정값!B14</f>
        <v>3302.25942528</v>
      </c>
      <c r="L8" s="45" t="n">
        <f aca="false">L7*가정값!B14</f>
        <v>3962.711310336</v>
      </c>
      <c r="M8" s="45" t="n">
        <f aca="false">M7*가정값!B14</f>
        <v>4755.2535724032</v>
      </c>
      <c r="N8" s="45" t="n">
        <f aca="false">N7*가정값!B14</f>
        <v>5706.30428688384</v>
      </c>
    </row>
    <row r="9" customFormat="false" ht="18" hidden="false" customHeight="true" outlineLevel="0" collapsed="false">
      <c r="A9" s="5" t="s">
        <v>88</v>
      </c>
      <c r="B9" s="42" t="s">
        <v>84</v>
      </c>
      <c r="C9" s="43" t="n">
        <f aca="false">C8*가정값!B15</f>
        <v>192</v>
      </c>
      <c r="D9" s="43" t="n">
        <f aca="false">D8*가정값!B15</f>
        <v>230.4</v>
      </c>
      <c r="E9" s="43" t="n">
        <f aca="false">E8*가정값!B15</f>
        <v>276.48</v>
      </c>
      <c r="F9" s="43" t="n">
        <f aca="false">F8*가정값!B15</f>
        <v>331.776</v>
      </c>
      <c r="G9" s="43" t="n">
        <f aca="false">G8*가정값!B15</f>
        <v>398.1312</v>
      </c>
      <c r="H9" s="43" t="n">
        <f aca="false">H8*가정값!B15</f>
        <v>477.75744</v>
      </c>
      <c r="I9" s="43" t="n">
        <f aca="false">I8*가정값!B15</f>
        <v>573.308928</v>
      </c>
      <c r="J9" s="43" t="n">
        <f aca="false">J8*가정값!B15</f>
        <v>687.9707136</v>
      </c>
      <c r="K9" s="43" t="n">
        <f aca="false">K8*가정값!B15</f>
        <v>825.56485632</v>
      </c>
      <c r="L9" s="43" t="n">
        <f aca="false">L8*가정값!B15</f>
        <v>990.677827584</v>
      </c>
      <c r="M9" s="43" t="n">
        <f aca="false">M8*가정값!B15</f>
        <v>1188.8133931008</v>
      </c>
      <c r="N9" s="43" t="n">
        <f aca="false">N8*가정값!B15</f>
        <v>1426.57607172096</v>
      </c>
    </row>
    <row r="10" customFormat="false" ht="19.5" hidden="false" customHeight="true" outlineLevel="0" collapsed="false">
      <c r="A10" s="4" t="s">
        <v>89</v>
      </c>
    </row>
    <row r="11" customFormat="false" ht="18" hidden="false" customHeight="true" outlineLevel="0" collapsed="false">
      <c r="A11" s="5" t="s">
        <v>90</v>
      </c>
      <c r="B11" s="5"/>
      <c r="C11" s="46" t="n">
        <f aca="false">C7*가정값!B5</f>
        <v>28800</v>
      </c>
      <c r="D11" s="46" t="n">
        <f aca="false">D7*가정값!B5</f>
        <v>34560</v>
      </c>
      <c r="E11" s="46" t="n">
        <f aca="false">E7*가정값!B5</f>
        <v>41472</v>
      </c>
      <c r="F11" s="46" t="n">
        <f aca="false">F7*가정값!B5</f>
        <v>49766.4</v>
      </c>
      <c r="G11" s="46" t="n">
        <f aca="false">G7*가정값!B5</f>
        <v>59719.68</v>
      </c>
      <c r="H11" s="46" t="n">
        <f aca="false">H7*가정값!B5</f>
        <v>71663.616</v>
      </c>
      <c r="I11" s="46" t="n">
        <f aca="false">I7*가정값!B5</f>
        <v>85996.3392</v>
      </c>
      <c r="J11" s="46" t="n">
        <f aca="false">J7*가정값!B5</f>
        <v>103195.60704</v>
      </c>
      <c r="K11" s="46" t="n">
        <f aca="false">K7*가정값!B5</f>
        <v>123834.728448</v>
      </c>
      <c r="L11" s="46" t="n">
        <f aca="false">L7*가정값!B5</f>
        <v>148601.6741376</v>
      </c>
      <c r="M11" s="46" t="n">
        <f aca="false">M7*가정값!B5</f>
        <v>178322.00896512</v>
      </c>
      <c r="N11" s="46" t="n">
        <f aca="false">N7*가정값!B5</f>
        <v>213986.410758144</v>
      </c>
    </row>
    <row r="12" customFormat="false" ht="18" hidden="false" customHeight="true" outlineLevel="0" collapsed="false">
      <c r="A12" s="8" t="s">
        <v>91</v>
      </c>
      <c r="B12" s="8"/>
      <c r="C12" s="47" t="n">
        <f aca="false">C8*가정값!B6</f>
        <v>18432</v>
      </c>
      <c r="D12" s="47" t="n">
        <f aca="false">D8*가정값!B6</f>
        <v>22118.4</v>
      </c>
      <c r="E12" s="47" t="n">
        <f aca="false">E8*가정값!B6</f>
        <v>26542.08</v>
      </c>
      <c r="F12" s="47" t="n">
        <f aca="false">F8*가정값!B6</f>
        <v>31850.496</v>
      </c>
      <c r="G12" s="47" t="n">
        <f aca="false">G8*가정값!B6</f>
        <v>38220.5952</v>
      </c>
      <c r="H12" s="47" t="n">
        <f aca="false">H8*가정값!B6</f>
        <v>45864.71424</v>
      </c>
      <c r="I12" s="47" t="n">
        <f aca="false">I8*가정값!B6</f>
        <v>55037.657088</v>
      </c>
      <c r="J12" s="47" t="n">
        <f aca="false">J8*가정값!B6</f>
        <v>66045.1885056</v>
      </c>
      <c r="K12" s="47" t="n">
        <f aca="false">K8*가정값!B6</f>
        <v>79254.22620672</v>
      </c>
      <c r="L12" s="47" t="n">
        <f aca="false">L8*가정값!B6</f>
        <v>95105.071448064</v>
      </c>
      <c r="M12" s="47" t="n">
        <f aca="false">M8*가정값!B6</f>
        <v>114126.085737677</v>
      </c>
      <c r="N12" s="47" t="n">
        <f aca="false">N8*가정값!B6</f>
        <v>136951.302885212</v>
      </c>
    </row>
    <row r="13" customFormat="false" ht="18" hidden="false" customHeight="true" outlineLevel="0" collapsed="false">
      <c r="A13" s="5" t="s">
        <v>92</v>
      </c>
      <c r="B13" s="5"/>
      <c r="C13" s="46" t="n">
        <f aca="false">C9*가정값!B7</f>
        <v>5568</v>
      </c>
      <c r="D13" s="46" t="n">
        <f aca="false">D9*가정값!B7</f>
        <v>6681.6</v>
      </c>
      <c r="E13" s="46" t="n">
        <f aca="false">E9*가정값!B7</f>
        <v>8017.92</v>
      </c>
      <c r="F13" s="46" t="n">
        <f aca="false">F9*가정값!B7</f>
        <v>9621.504</v>
      </c>
      <c r="G13" s="46" t="n">
        <f aca="false">G9*가정값!B7</f>
        <v>11545.8048</v>
      </c>
      <c r="H13" s="46" t="n">
        <f aca="false">H9*가정값!B7</f>
        <v>13854.96576</v>
      </c>
      <c r="I13" s="46" t="n">
        <f aca="false">I9*가정값!B7</f>
        <v>16625.958912</v>
      </c>
      <c r="J13" s="46" t="n">
        <f aca="false">J9*가정값!B7</f>
        <v>19951.1506944</v>
      </c>
      <c r="K13" s="46" t="n">
        <f aca="false">K9*가정값!B7</f>
        <v>23941.38083328</v>
      </c>
      <c r="L13" s="46" t="n">
        <f aca="false">L9*가정값!B7</f>
        <v>28729.656999936</v>
      </c>
      <c r="M13" s="46" t="n">
        <f aca="false">M9*가정값!B7</f>
        <v>34475.5883999232</v>
      </c>
      <c r="N13" s="46" t="n">
        <f aca="false">N9*가정값!B7</f>
        <v>41370.7060799078</v>
      </c>
    </row>
    <row r="14" customFormat="false" ht="19.5" hidden="false" customHeight="true" outlineLevel="0" collapsed="false">
      <c r="A14" s="48" t="s">
        <v>93</v>
      </c>
      <c r="B14" s="49"/>
      <c r="C14" s="50" t="n">
        <f aca="false">C11+C12+C13</f>
        <v>52800</v>
      </c>
      <c r="D14" s="50" t="n">
        <f aca="false">D11+D12+D13</f>
        <v>63360</v>
      </c>
      <c r="E14" s="50" t="n">
        <f aca="false">E11+E12+E13</f>
        <v>76032</v>
      </c>
      <c r="F14" s="50" t="n">
        <f aca="false">F11+F12+F13</f>
        <v>91238.4</v>
      </c>
      <c r="G14" s="50" t="n">
        <f aca="false">G11+G12+G13</f>
        <v>109486.08</v>
      </c>
      <c r="H14" s="50" t="n">
        <f aca="false">H11+H12+H13</f>
        <v>131383.296</v>
      </c>
      <c r="I14" s="50" t="n">
        <f aca="false">I11+I12+I13</f>
        <v>157659.9552</v>
      </c>
      <c r="J14" s="50" t="n">
        <f aca="false">J11+J12+J13</f>
        <v>189191.94624</v>
      </c>
      <c r="K14" s="50" t="n">
        <f aca="false">K11+K12+K13</f>
        <v>227030.335488</v>
      </c>
      <c r="L14" s="50" t="n">
        <f aca="false">L11+L12+L13</f>
        <v>272436.4025856</v>
      </c>
      <c r="M14" s="50" t="n">
        <f aca="false">M11+M12+M13</f>
        <v>326923.68310272</v>
      </c>
      <c r="N14" s="50" t="n">
        <f aca="false">N11+N12+N13</f>
        <v>392308.419723264</v>
      </c>
    </row>
    <row r="15" customFormat="false" ht="18" hidden="false" customHeight="true" outlineLevel="0" collapsed="false">
      <c r="A15" s="51" t="s">
        <v>94</v>
      </c>
      <c r="B15" s="8"/>
      <c r="C15" s="52" t="n">
        <f aca="false">-(C11*가정값!$B$19+C12*가정값!$B$20+C8*가정값!$B$22+C13*가정값!$B$21+C9*가정값!$B$22)</f>
        <v>-8616</v>
      </c>
      <c r="D15" s="52" t="n">
        <f aca="false">-(D11*가정값!$B$19+D12*가정값!$B$20+D8*가정값!$B$22+D13*가정값!$B$21+D9*가정값!$B$22)</f>
        <v>-10339.2</v>
      </c>
      <c r="E15" s="52" t="n">
        <f aca="false">-(E11*가정값!$B$19+E12*가정값!$B$20+E8*가정값!$B$22+E13*가정값!$B$21+E9*가정값!$B$22)</f>
        <v>-12407.04</v>
      </c>
      <c r="F15" s="52" t="n">
        <f aca="false">-(F11*가정값!$B$19+F12*가정값!$B$20+F8*가정값!$B$22+F13*가정값!$B$21+F9*가정값!$B$22)</f>
        <v>-14888.448</v>
      </c>
      <c r="G15" s="52" t="n">
        <f aca="false">-(G11*가정값!$B$19+G12*가정값!$B$20+G8*가정값!$B$22+G13*가정값!$B$21+G9*가정값!$B$22)</f>
        <v>-17866.1376</v>
      </c>
      <c r="H15" s="52" t="n">
        <f aca="false">-(H11*가정값!$B$19+H12*가정값!$B$20+H8*가정값!$B$22+H13*가정값!$B$21+H9*가정값!$B$22)</f>
        <v>-21439.36512</v>
      </c>
      <c r="I15" s="52" t="n">
        <f aca="false">-(I11*가정값!$B$19+I12*가정값!$B$20+I8*가정값!$B$22+I13*가정값!$B$21+I9*가정값!$B$22)</f>
        <v>-25727.238144</v>
      </c>
      <c r="J15" s="52" t="n">
        <f aca="false">-(J11*가정값!$B$19+J12*가정값!$B$20+J8*가정값!$B$22+J13*가정값!$B$21+J9*가정값!$B$22)</f>
        <v>-30872.6857728</v>
      </c>
      <c r="K15" s="52" t="n">
        <f aca="false">-(K11*가정값!$B$19+K12*가정값!$B$20+K8*가정값!$B$22+K13*가정값!$B$21+K9*가정값!$B$22)</f>
        <v>-37047.22292736</v>
      </c>
      <c r="L15" s="52" t="n">
        <f aca="false">-(L11*가정값!$B$19+L12*가정값!$B$20+L8*가정값!$B$22+L13*가정값!$B$21+L9*가정값!$B$22)</f>
        <v>-44456.667512832</v>
      </c>
      <c r="M15" s="52" t="n">
        <f aca="false">-(M11*가정값!$B$19+M12*가정값!$B$20+M8*가정값!$B$22+M13*가정값!$B$21+M9*가정값!$B$22)</f>
        <v>-53348.0010153984</v>
      </c>
      <c r="N15" s="52" t="n">
        <f aca="false">-(N11*가정값!$B$19+N12*가정값!$B$20+N8*가정값!$B$22+N13*가정값!$B$21+N9*가정값!$B$22)</f>
        <v>-64017.6012184781</v>
      </c>
    </row>
    <row r="16" customFormat="false" ht="18" hidden="false" customHeight="true" outlineLevel="0" collapsed="false">
      <c r="A16" s="53" t="s">
        <v>95</v>
      </c>
      <c r="B16" s="5"/>
      <c r="C16" s="54" t="n">
        <f aca="false">-(C11*(1-가정값!$B$19)*가정값!$B$23+(C12*(1-가정값!$B$20)-C8*가정값!$B$22)*가정값!$B$24+(C13*(1-가정값!$B$21)-C9*가정값!$B$22)*가정값!$B$25)*가정값!$B$26</f>
        <v>-6675</v>
      </c>
      <c r="D16" s="54" t="n">
        <f aca="false">-(D11*(1-가정값!$B$19)*가정값!$B$23+(D12*(1-가정값!$B$20)-D8*가정값!$B$22)*가정값!$B$24+(D13*(1-가정값!$B$21)-D9*가정값!$B$22)*가정값!$B$25)*가정값!$B$26</f>
        <v>-8010</v>
      </c>
      <c r="E16" s="54" t="n">
        <f aca="false">-(E11*(1-가정값!$B$19)*가정값!$B$23+(E12*(1-가정값!$B$20)-E8*가정값!$B$22)*가정값!$B$24+(E13*(1-가정값!$B$21)-E9*가정값!$B$22)*가정값!$B$25)*가정값!$B$26</f>
        <v>-9612</v>
      </c>
      <c r="F16" s="54" t="n">
        <f aca="false">-(F11*(1-가정값!$B$19)*가정값!$B$23+(F12*(1-가정값!$B$20)-F8*가정값!$B$22)*가정값!$B$24+(F13*(1-가정값!$B$21)-F9*가정값!$B$22)*가정값!$B$25)*가정값!$B$26</f>
        <v>-11534.4</v>
      </c>
      <c r="G16" s="54" t="n">
        <f aca="false">-(G11*(1-가정값!$B$19)*가정값!$B$23+(G12*(1-가정값!$B$20)-G8*가정값!$B$22)*가정값!$B$24+(G13*(1-가정값!$B$21)-G9*가정값!$B$22)*가정값!$B$25)*가정값!$B$26</f>
        <v>-13841.28</v>
      </c>
      <c r="H16" s="54" t="n">
        <f aca="false">-(H11*(1-가정값!$B$19)*가정값!$B$23+(H12*(1-가정값!$B$20)-H8*가정값!$B$22)*가정값!$B$24+(H13*(1-가정값!$B$21)-H9*가정값!$B$22)*가정값!$B$25)*가정값!$B$26</f>
        <v>-16609.536</v>
      </c>
      <c r="I16" s="54" t="n">
        <f aca="false">-(I11*(1-가정값!$B$19)*가정값!$B$23+(I12*(1-가정값!$B$20)-I8*가정값!$B$22)*가정값!$B$24+(I13*(1-가정값!$B$21)-I9*가정값!$B$22)*가정값!$B$25)*가정값!$B$26</f>
        <v>-19931.4432</v>
      </c>
      <c r="J16" s="54" t="n">
        <f aca="false">-(J11*(1-가정값!$B$19)*가정값!$B$23+(J12*(1-가정값!$B$20)-J8*가정값!$B$22)*가정값!$B$24+(J13*(1-가정값!$B$21)-J9*가정값!$B$22)*가정값!$B$25)*가정값!$B$26</f>
        <v>-23917.73184</v>
      </c>
      <c r="K16" s="54" t="n">
        <f aca="false">-(K11*(1-가정값!$B$19)*가정값!$B$23+(K12*(1-가정값!$B$20)-K8*가정값!$B$22)*가정값!$B$24+(K13*(1-가정값!$B$21)-K9*가정값!$B$22)*가정값!$B$25)*가정값!$B$26</f>
        <v>-28701.278208</v>
      </c>
      <c r="L16" s="54" t="n">
        <f aca="false">-(L11*(1-가정값!$B$19)*가정값!$B$23+(L12*(1-가정값!$B$20)-L8*가정값!$B$22)*가정값!$B$24+(L13*(1-가정값!$B$21)-L9*가정값!$B$22)*가정값!$B$25)*가정값!$B$26</f>
        <v>-34441.5338496</v>
      </c>
      <c r="M16" s="54" t="n">
        <f aca="false">-(M11*(1-가정값!$B$19)*가정값!$B$23+(M12*(1-가정값!$B$20)-M8*가정값!$B$22)*가정값!$B$24+(M13*(1-가정값!$B$21)-M9*가정값!$B$22)*가정값!$B$25)*가정값!$B$26</f>
        <v>-41329.84061952</v>
      </c>
      <c r="N16" s="54" t="n">
        <f aca="false">-(N11*(1-가정값!$B$19)*가정값!$B$23+(N12*(1-가정값!$B$20)-N8*가정값!$B$22)*가정값!$B$24+(N13*(1-가정값!$B$21)-N9*가정값!$B$22)*가정값!$B$25)*가정값!$B$26</f>
        <v>-49595.808743424</v>
      </c>
    </row>
    <row r="17" customFormat="false" ht="24" hidden="false" customHeight="true" outlineLevel="0" collapsed="false">
      <c r="A17" s="55" t="s">
        <v>96</v>
      </c>
      <c r="B17" s="56"/>
      <c r="C17" s="57" t="n">
        <f aca="false">C14+C15+C16</f>
        <v>37509</v>
      </c>
      <c r="D17" s="57" t="n">
        <f aca="false">D14+D15+D16</f>
        <v>45010.8</v>
      </c>
      <c r="E17" s="57" t="n">
        <f aca="false">E14+E15+E16</f>
        <v>54012.96</v>
      </c>
      <c r="F17" s="57" t="n">
        <f aca="false">F14+F15+F16</f>
        <v>64815.552</v>
      </c>
      <c r="G17" s="57" t="n">
        <f aca="false">G14+G15+G16</f>
        <v>77778.6624</v>
      </c>
      <c r="H17" s="57" t="n">
        <f aca="false">H14+H15+H16</f>
        <v>93334.39488</v>
      </c>
      <c r="I17" s="57" t="n">
        <f aca="false">I14+I15+I16</f>
        <v>112001.273856</v>
      </c>
      <c r="J17" s="57" t="n">
        <f aca="false">J14+J15+J16</f>
        <v>134401.5286272</v>
      </c>
      <c r="K17" s="57" t="n">
        <f aca="false">K14+K15+K16</f>
        <v>161281.83435264</v>
      </c>
      <c r="L17" s="57" t="n">
        <f aca="false">L14+L15+L16</f>
        <v>193538.201223168</v>
      </c>
      <c r="M17" s="57" t="n">
        <f aca="false">M14+M15+M16</f>
        <v>232245.841467801</v>
      </c>
      <c r="N17" s="57" t="n">
        <f aca="false">N14+N15+N16</f>
        <v>278695.009761362</v>
      </c>
    </row>
    <row r="18" customFormat="false" ht="19.5" hidden="false" customHeight="true" outlineLevel="0" collapsed="false">
      <c r="A18" s="48" t="s">
        <v>97</v>
      </c>
      <c r="B18" s="49"/>
      <c r="C18" s="50" t="n">
        <f aca="false">C17</f>
        <v>37509</v>
      </c>
      <c r="D18" s="50" t="n">
        <f aca="false">C18+D17</f>
        <v>82519.8</v>
      </c>
      <c r="E18" s="50" t="n">
        <f aca="false">D18+E17</f>
        <v>136532.76</v>
      </c>
      <c r="F18" s="50" t="n">
        <f aca="false">E18+F17</f>
        <v>201348.312</v>
      </c>
      <c r="G18" s="50" t="n">
        <f aca="false">F18+G17</f>
        <v>279126.9744</v>
      </c>
      <c r="H18" s="50" t="n">
        <f aca="false">G18+H17</f>
        <v>372461.36928</v>
      </c>
      <c r="I18" s="50" t="n">
        <f aca="false">H18+I17</f>
        <v>484462.643136</v>
      </c>
      <c r="J18" s="50" t="n">
        <f aca="false">I18+J17</f>
        <v>618864.1717632</v>
      </c>
      <c r="K18" s="50" t="n">
        <f aca="false">J18+K17</f>
        <v>780146.00611584</v>
      </c>
      <c r="L18" s="50" t="n">
        <f aca="false">K18+L17</f>
        <v>973684.207339008</v>
      </c>
      <c r="M18" s="50" t="n">
        <f aca="false">L18+M17</f>
        <v>1205930.04880681</v>
      </c>
      <c r="N18" s="50" t="n">
        <f aca="false">M18+N17</f>
        <v>1484625.05856817</v>
      </c>
    </row>
    <row r="20" customFormat="false" ht="21.75" hidden="false" customHeight="true" outlineLevel="0" collapsed="false">
      <c r="A20" s="4" t="s">
        <v>98</v>
      </c>
    </row>
    <row r="21" customFormat="false" ht="19.5" hidden="false" customHeight="true" outlineLevel="0" collapsed="false">
      <c r="A21" s="12" t="s">
        <v>99</v>
      </c>
      <c r="B21" s="58" t="n">
        <f aca="false">SUM(C14:N14)</f>
        <v>2089850.51833958</v>
      </c>
    </row>
    <row r="22" customFormat="false" ht="19.5" hidden="false" customHeight="true" outlineLevel="0" collapsed="false">
      <c r="A22" s="12" t="s">
        <v>100</v>
      </c>
      <c r="B22" s="58" t="n">
        <f aca="false">SUM(C17:N17)</f>
        <v>1484625.05856817</v>
      </c>
    </row>
    <row r="23" customFormat="false" ht="19.5" hidden="false" customHeight="true" outlineLevel="0" collapsed="false">
      <c r="A23" s="59" t="s">
        <v>101</v>
      </c>
      <c r="B23" s="60" t="n">
        <f aca="false">N18</f>
        <v>1484625.05856817</v>
      </c>
    </row>
    <row r="24" customFormat="false" ht="19.5" hidden="false" customHeight="true" outlineLevel="0" collapsed="false">
      <c r="A24" s="61" t="s">
        <v>102</v>
      </c>
      <c r="B24" s="60" t="n">
        <f aca="false">SUM(C17:N17)/12</f>
        <v>123718.754880681</v>
      </c>
    </row>
    <row r="25" customFormat="false" ht="19.5" hidden="false" customHeight="true" outlineLevel="0" collapsed="false">
      <c r="A25" s="62" t="s">
        <v>103</v>
      </c>
    </row>
    <row r="26" customFormat="false" ht="19.5" hidden="false" customHeight="true" outlineLevel="0" collapsed="false">
      <c r="A26" s="63" t="s">
        <v>104</v>
      </c>
      <c r="B26" s="64" t="n">
        <f aca="false">SUM(C17:N17)*1400</f>
        <v>2078475081.99544</v>
      </c>
    </row>
    <row r="27" customFormat="false" ht="19.5" hidden="false" customHeight="true" outlineLevel="0" collapsed="false">
      <c r="A27" s="63" t="s">
        <v>105</v>
      </c>
      <c r="B27" s="64" t="n">
        <f aca="false">SUM(C17:N17)/12*1400</f>
        <v>173206256.832953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2"/>
    <col collapsed="false" customWidth="true" hidden="false" outlineLevel="0" max="5" min="2" style="1" width="18"/>
  </cols>
  <sheetData>
    <row r="1" customFormat="false" ht="27.75" hidden="false" customHeight="true" outlineLevel="0" collapsed="false">
      <c r="A1" s="38" t="s">
        <v>106</v>
      </c>
    </row>
    <row r="2" customFormat="false" ht="15.75" hidden="false" customHeight="true" outlineLevel="0" collapsed="false">
      <c r="A2" s="65" t="s">
        <v>107</v>
      </c>
    </row>
    <row r="3" customFormat="false" ht="7.5" hidden="false" customHeight="true" outlineLevel="0" collapsed="false"/>
    <row r="4" customFormat="false" ht="24" hidden="false" customHeight="true" outlineLevel="0" collapsed="false">
      <c r="A4" s="39" t="s">
        <v>108</v>
      </c>
      <c r="B4" s="66" t="s">
        <v>109</v>
      </c>
      <c r="C4" s="67" t="s">
        <v>110</v>
      </c>
      <c r="D4" s="68" t="s">
        <v>111</v>
      </c>
      <c r="E4" s="69" t="s">
        <v>112</v>
      </c>
    </row>
    <row r="5" customFormat="false" ht="18" hidden="false" customHeight="true" outlineLevel="0" collapsed="false">
      <c r="A5" s="12" t="s">
        <v>113</v>
      </c>
      <c r="B5" s="70" t="n">
        <v>500</v>
      </c>
      <c r="C5" s="70" t="n">
        <v>5000</v>
      </c>
      <c r="D5" s="70" t="n">
        <v>20000</v>
      </c>
      <c r="E5" s="13" t="n">
        <v>100000</v>
      </c>
    </row>
    <row r="6" customFormat="false" ht="18" hidden="false" customHeight="true" outlineLevel="0" collapsed="false">
      <c r="A6" s="15" t="s">
        <v>114</v>
      </c>
      <c r="B6" s="16" t="n">
        <v>0.4</v>
      </c>
      <c r="C6" s="16" t="n">
        <v>0.6</v>
      </c>
      <c r="D6" s="16" t="n">
        <v>0.7</v>
      </c>
      <c r="E6" s="17" t="n">
        <v>0.8</v>
      </c>
    </row>
    <row r="7" customFormat="false" ht="18" hidden="false" customHeight="true" outlineLevel="0" collapsed="false">
      <c r="A7" s="12" t="s">
        <v>115</v>
      </c>
      <c r="B7" s="16" t="n">
        <v>0.03</v>
      </c>
      <c r="C7" s="16" t="n">
        <v>0.08</v>
      </c>
      <c r="D7" s="16" t="n">
        <v>0.12</v>
      </c>
      <c r="E7" s="17" t="n">
        <v>0.18</v>
      </c>
    </row>
    <row r="8" customFormat="false" ht="18" hidden="false" customHeight="true" outlineLevel="0" collapsed="false">
      <c r="A8" s="8" t="s">
        <v>116</v>
      </c>
      <c r="B8" s="16" t="n">
        <v>0.2</v>
      </c>
      <c r="C8" s="16" t="n">
        <v>0.4</v>
      </c>
      <c r="D8" s="16" t="n">
        <v>0.55</v>
      </c>
      <c r="E8" s="17" t="n">
        <v>0.7</v>
      </c>
    </row>
    <row r="9" customFormat="false" ht="18" hidden="false" customHeight="true" outlineLevel="0" collapsed="false">
      <c r="A9" s="5" t="s">
        <v>117</v>
      </c>
      <c r="B9" s="16" t="n">
        <v>0.1</v>
      </c>
      <c r="C9" s="16" t="n">
        <v>0.25</v>
      </c>
      <c r="D9" s="16" t="n">
        <v>0.4</v>
      </c>
      <c r="E9" s="17" t="n">
        <v>0.55</v>
      </c>
    </row>
    <row r="10" customFormat="false" ht="18" hidden="false" customHeight="true" outlineLevel="0" collapsed="false">
      <c r="A10" s="15" t="s">
        <v>118</v>
      </c>
      <c r="B10" s="16" t="n">
        <v>0.05</v>
      </c>
      <c r="C10" s="16" t="n">
        <v>0.2</v>
      </c>
      <c r="D10" s="16" t="n">
        <v>0.3</v>
      </c>
      <c r="E10" s="17" t="n">
        <v>0.5</v>
      </c>
    </row>
    <row r="11" customFormat="false" ht="18" hidden="false" customHeight="true" outlineLevel="0" collapsed="false">
      <c r="A11" s="12" t="s">
        <v>119</v>
      </c>
      <c r="B11" s="16" t="n">
        <v>0.1</v>
      </c>
      <c r="C11" s="16" t="n">
        <v>0.25</v>
      </c>
      <c r="D11" s="16" t="n">
        <v>0.4</v>
      </c>
      <c r="E11" s="17" t="n">
        <v>0.5</v>
      </c>
    </row>
    <row r="13" customFormat="false" ht="21.75" hidden="false" customHeight="true" outlineLevel="0" collapsed="false">
      <c r="A13" s="11" t="s">
        <v>120</v>
      </c>
    </row>
    <row r="14" customFormat="false" ht="18" hidden="false" customHeight="true" outlineLevel="0" collapsed="false">
      <c r="A14" s="12" t="s">
        <v>121</v>
      </c>
      <c r="B14" s="43" t="n">
        <f aca="false">B5*(1+B10)^11</f>
        <v>855.169679058157</v>
      </c>
      <c r="C14" s="43" t="n">
        <f aca="false">C5*(1+C10)^11</f>
        <v>37150.4185344</v>
      </c>
      <c r="D14" s="43" t="n">
        <f aca="false">D5*(1+D10)^11</f>
        <v>358432.0788074</v>
      </c>
      <c r="E14" s="43" t="n">
        <f aca="false">E5*(1+E10)^11</f>
        <v>8649755.859375</v>
      </c>
    </row>
    <row r="15" customFormat="false" ht="18" hidden="false" customHeight="true" outlineLevel="0" collapsed="false">
      <c r="A15" s="15" t="s">
        <v>122</v>
      </c>
      <c r="B15" s="45" t="n">
        <f aca="false">B14*B6</f>
        <v>342.067871623263</v>
      </c>
      <c r="C15" s="45" t="n">
        <f aca="false">C14*C6</f>
        <v>22290.25112064</v>
      </c>
      <c r="D15" s="45" t="n">
        <f aca="false">D14*D6</f>
        <v>250902.45516518</v>
      </c>
      <c r="E15" s="45" t="n">
        <f aca="false">E14*E6</f>
        <v>6919804.6875</v>
      </c>
    </row>
    <row r="16" customFormat="false" ht="18" hidden="false" customHeight="true" outlineLevel="0" collapsed="false">
      <c r="A16" s="5" t="s">
        <v>123</v>
      </c>
      <c r="B16" s="43" t="n">
        <f aca="false">B15*B7*8</f>
        <v>82.0962891895831</v>
      </c>
      <c r="C16" s="43" t="n">
        <f aca="false">C15*C7*8</f>
        <v>14265.7607172096</v>
      </c>
      <c r="D16" s="43" t="n">
        <f aca="false">D15*D7*8</f>
        <v>240866.356958573</v>
      </c>
      <c r="E16" s="43" t="n">
        <f aca="false">E15*E7*8</f>
        <v>9964518.75</v>
      </c>
    </row>
    <row r="17" customFormat="false" ht="18" hidden="false" customHeight="true" outlineLevel="0" collapsed="false">
      <c r="A17" s="8" t="s">
        <v>124</v>
      </c>
      <c r="B17" s="45" t="n">
        <f aca="false">B16*B8*8</f>
        <v>131.354062703333</v>
      </c>
      <c r="C17" s="45" t="n">
        <f aca="false">C16*C8*8</f>
        <v>45650.4342950707</v>
      </c>
      <c r="D17" s="45" t="n">
        <f aca="false">D16*D8*8</f>
        <v>1059811.97061772</v>
      </c>
      <c r="E17" s="45" t="n">
        <f aca="false">E16*E8*8</f>
        <v>55801305</v>
      </c>
    </row>
    <row r="18" customFormat="false" ht="18" hidden="false" customHeight="true" outlineLevel="0" collapsed="false">
      <c r="A18" s="5" t="s">
        <v>125</v>
      </c>
      <c r="B18" s="43" t="n">
        <f aca="false">B17*B9*8</f>
        <v>105.083250162666</v>
      </c>
      <c r="C18" s="43" t="n">
        <f aca="false">C17*C9*8</f>
        <v>91300.8685901414</v>
      </c>
      <c r="D18" s="43" t="n">
        <f aca="false">D17*D9*8</f>
        <v>3391398.30597671</v>
      </c>
      <c r="E18" s="43" t="n">
        <f aca="false">E17*E9*8</f>
        <v>245525742</v>
      </c>
    </row>
    <row r="19" customFormat="false" ht="18" hidden="false" customHeight="true" outlineLevel="0" collapsed="false">
      <c r="A19" s="8" t="s">
        <v>126</v>
      </c>
      <c r="B19" s="47" t="n">
        <f aca="false">15*B16</f>
        <v>1231.44433784375</v>
      </c>
      <c r="C19" s="47" t="n">
        <f aca="false">15*C16</f>
        <v>213986.410758144</v>
      </c>
      <c r="D19" s="47" t="n">
        <f aca="false">15*D16</f>
        <v>3612995.35437859</v>
      </c>
      <c r="E19" s="47" t="n">
        <f aca="false">15*E16</f>
        <v>149467781.25</v>
      </c>
    </row>
    <row r="20" customFormat="false" ht="18" hidden="false" customHeight="true" outlineLevel="0" collapsed="false">
      <c r="A20" s="5" t="s">
        <v>127</v>
      </c>
      <c r="B20" s="46" t="n">
        <f aca="false">24*B17</f>
        <v>3152.49750487999</v>
      </c>
      <c r="C20" s="46" t="n">
        <f aca="false">24*C17</f>
        <v>1095610.4230817</v>
      </c>
      <c r="D20" s="46" t="n">
        <f aca="false">24*D17</f>
        <v>25435487.2948253</v>
      </c>
      <c r="E20" s="46" t="n">
        <f aca="false">24*E17</f>
        <v>1339231320</v>
      </c>
    </row>
    <row r="21" customFormat="false" ht="18" hidden="false" customHeight="true" outlineLevel="0" collapsed="false">
      <c r="A21" s="8" t="s">
        <v>128</v>
      </c>
      <c r="B21" s="47" t="n">
        <f aca="false">29*B18</f>
        <v>3047.41425471732</v>
      </c>
      <c r="C21" s="47" t="n">
        <f aca="false">29*C18</f>
        <v>2647725.1891141</v>
      </c>
      <c r="D21" s="47" t="n">
        <f aca="false">29*D18</f>
        <v>98350550.8733245</v>
      </c>
      <c r="E21" s="47" t="n">
        <f aca="false">29*E18</f>
        <v>7120246518</v>
      </c>
    </row>
    <row r="22" customFormat="false" ht="18" hidden="false" customHeight="true" outlineLevel="0" collapsed="false">
      <c r="A22" s="12" t="s">
        <v>129</v>
      </c>
      <c r="B22" s="46" t="n">
        <f aca="false">B19+B20+B21</f>
        <v>7431.35609744106</v>
      </c>
      <c r="C22" s="46" t="n">
        <f aca="false">C19+C20+C21</f>
        <v>3957322.02295394</v>
      </c>
      <c r="D22" s="46" t="n">
        <f aca="false">D19+D20+D21</f>
        <v>127399033.522528</v>
      </c>
      <c r="E22" s="46" t="n">
        <f aca="false">E19+E20+E21</f>
        <v>8608945619.25</v>
      </c>
    </row>
    <row r="23" customFormat="false" ht="18" hidden="false" customHeight="true" outlineLevel="0" collapsed="false">
      <c r="A23" s="15" t="s">
        <v>94</v>
      </c>
      <c r="B23" s="52" t="n">
        <f aca="false">-(B19*0.2+B20*0.099+B17*0.5+B21*0.099+B18*0.5)</f>
        <v>-978.298788201883</v>
      </c>
      <c r="C23" s="52" t="n">
        <f aca="false">-(C19*0.2+C20*0.099+C17*0.5+C21*0.099+C18*0.5)</f>
        <v>-481863.159201619</v>
      </c>
      <c r="D23" s="52" t="n">
        <f aca="false">-(D19*0.2+D20*0.099+D17*0.5+D21*0.099+D18*0.5)</f>
        <v>-15203021.9878198</v>
      </c>
      <c r="E23" s="52" t="n">
        <f aca="false">-(E19*0.2+E20*0.099+E17*0.5+E21*0.099+E18*0.5)</f>
        <v>-1018045385.712</v>
      </c>
    </row>
    <row r="24" customFormat="false" ht="18" hidden="false" customHeight="true" outlineLevel="0" collapsed="false">
      <c r="A24" s="12" t="s">
        <v>95</v>
      </c>
      <c r="B24" s="54" t="n">
        <f aca="false">-(B19*(1-0.2)*0.7+(B20*(1-0.099)-B17*0.5)*0.5+(B21*(1-0.099)-B18*0.5)*0.5)*B11</f>
        <v>-342.355974867459</v>
      </c>
      <c r="C24" s="54" t="n">
        <f aca="false">-(C19*(1-0.2)*0.7+(C20*(1-0.099)-C17*0.5)*0.5+(C21*(1-0.099)-C18*0.5)*0.5)*C11</f>
        <v>-442991.814399366</v>
      </c>
      <c r="D24" s="54" t="n">
        <f aca="false">-(D19*(1-0.2)*0.7+(D20*(1-0.099)-D17*0.5)*0.5+(D21*(1-0.099)-D18*0.5)*0.5)*D11</f>
        <v>-22670434.0096219</v>
      </c>
      <c r="E24" s="54" t="n">
        <f aca="false">-(E19*(1-0.2)*0.7+(E20*(1-0.099)-E17*0.5)*0.5+(E21*(1-0.099)-E18*0.5)*0.5)*E11</f>
        <v>-1909682480.8845</v>
      </c>
    </row>
    <row r="25" customFormat="false" ht="21.75" hidden="false" customHeight="true" outlineLevel="0" collapsed="false">
      <c r="A25" s="61" t="s">
        <v>130</v>
      </c>
      <c r="B25" s="71" t="n">
        <f aca="false">B22+B23+B24</f>
        <v>6110.70133437172</v>
      </c>
      <c r="C25" s="72" t="n">
        <f aca="false">C22+C23+C24</f>
        <v>3032467.04935296</v>
      </c>
      <c r="D25" s="73" t="n">
        <f aca="false">D22+D23+D24</f>
        <v>89525577.5250866</v>
      </c>
      <c r="E25" s="74" t="n">
        <f aca="false">E22+E23+E24</f>
        <v>5681217752.6535</v>
      </c>
    </row>
    <row r="26" customFormat="false" ht="21.75" hidden="false" customHeight="true" outlineLevel="0" collapsed="false">
      <c r="A26" s="61" t="s">
        <v>131</v>
      </c>
      <c r="B26" s="71" t="n">
        <f aca="false">B25*12</f>
        <v>73328.4160124606</v>
      </c>
      <c r="C26" s="72" t="n">
        <f aca="false">C25*12</f>
        <v>36389604.5922355</v>
      </c>
      <c r="D26" s="73" t="n">
        <f aca="false">D25*12</f>
        <v>1074306930.30104</v>
      </c>
      <c r="E26" s="74" t="n">
        <f aca="false">E25*12</f>
        <v>68174613031.842</v>
      </c>
    </row>
    <row r="28" customFormat="false" ht="21.75" hidden="false" customHeight="true" outlineLevel="0" collapsed="false">
      <c r="A28" s="4" t="s">
        <v>132</v>
      </c>
    </row>
    <row r="29" customFormat="false" ht="21.75" hidden="false" customHeight="true" outlineLevel="0" collapsed="false">
      <c r="A29" s="63" t="s">
        <v>133</v>
      </c>
      <c r="B29" s="75" t="n">
        <f aca="false">B25*1400</f>
        <v>8554981.86812041</v>
      </c>
      <c r="C29" s="76" t="n">
        <f aca="false">C25*1400</f>
        <v>4245453869.09414</v>
      </c>
      <c r="D29" s="77" t="n">
        <f aca="false">D25*1400</f>
        <v>125335808535.121</v>
      </c>
      <c r="E29" s="78" t="n">
        <f aca="false">E25*1400</f>
        <v>7953704853714.9</v>
      </c>
    </row>
    <row r="30" customFormat="false" ht="21.75" hidden="false" customHeight="true" outlineLevel="0" collapsed="false">
      <c r="A30" s="63" t="s">
        <v>134</v>
      </c>
      <c r="B30" s="75" t="n">
        <f aca="false">B26*1400</f>
        <v>102659782.417445</v>
      </c>
      <c r="C30" s="76" t="n">
        <f aca="false">C26*1400</f>
        <v>50945446429.1297</v>
      </c>
      <c r="D30" s="77" t="n">
        <f aca="false">D26*1400</f>
        <v>1504029702421.46</v>
      </c>
      <c r="E30" s="78" t="n">
        <f aca="false">E26*1400</f>
        <v>95444458244578.8</v>
      </c>
    </row>
    <row r="32" customFormat="false" ht="21.75" hidden="false" customHeight="true" outlineLevel="0" collapsed="false">
      <c r="A32" s="4" t="s">
        <v>135</v>
      </c>
    </row>
    <row r="33" customFormat="false" ht="19.5" hidden="false" customHeight="true" outlineLevel="0" collapsed="false">
      <c r="A33" s="79" t="s">
        <v>136</v>
      </c>
    </row>
    <row r="34" customFormat="false" ht="19.5" hidden="false" customHeight="true" outlineLevel="0" collapsed="false">
      <c r="A34" s="80" t="s">
        <v>137</v>
      </c>
    </row>
    <row r="35" customFormat="false" ht="19.5" hidden="false" customHeight="true" outlineLevel="0" collapsed="false">
      <c r="A35" s="81" t="s">
        <v>138</v>
      </c>
    </row>
    <row r="36" customFormat="false" ht="19.5" hidden="false" customHeight="true" outlineLevel="0" collapsed="false">
      <c r="A36" s="80" t="s">
        <v>139</v>
      </c>
    </row>
    <row r="37" customFormat="false" ht="19.5" hidden="false" customHeight="true" outlineLevel="0" collapsed="false">
      <c r="A37" s="79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11" min="2" style="1" width="14"/>
  </cols>
  <sheetData>
    <row r="1" customFormat="false" ht="27.75" hidden="false" customHeight="true" outlineLevel="0" collapsed="false">
      <c r="A1" s="2" t="s">
        <v>141</v>
      </c>
    </row>
    <row r="2" customFormat="false" ht="15.75" hidden="false" customHeight="true" outlineLevel="0" collapsed="false">
      <c r="A2" s="3" t="s">
        <v>142</v>
      </c>
    </row>
    <row r="3" customFormat="false" ht="7.5" hidden="false" customHeight="true" outlineLevel="0" collapsed="false"/>
    <row r="4" customFormat="false" ht="21.75" hidden="false" customHeight="true" outlineLevel="0" collapsed="false">
      <c r="A4" s="39" t="s">
        <v>143</v>
      </c>
      <c r="B4" s="41" t="s">
        <v>144</v>
      </c>
      <c r="C4" s="41" t="s">
        <v>145</v>
      </c>
      <c r="D4" s="41" t="s">
        <v>146</v>
      </c>
      <c r="E4" s="41" t="s">
        <v>147</v>
      </c>
      <c r="F4" s="41" t="s">
        <v>148</v>
      </c>
      <c r="G4" s="41" t="s">
        <v>149</v>
      </c>
      <c r="H4" s="41" t="s">
        <v>150</v>
      </c>
      <c r="I4" s="41" t="s">
        <v>151</v>
      </c>
      <c r="J4" s="82" t="s">
        <v>152</v>
      </c>
      <c r="K4" s="82" t="s">
        <v>153</v>
      </c>
    </row>
    <row r="5" customFormat="false" ht="21.75" hidden="false" customHeight="true" outlineLevel="0" collapsed="false">
      <c r="A5" s="83" t="s">
        <v>154</v>
      </c>
      <c r="B5" s="84" t="n">
        <f aca="false">가정값!$B$29</f>
        <v>30</v>
      </c>
      <c r="C5" s="84" t="n">
        <f aca="false">가정값!$B$30</f>
        <v>12</v>
      </c>
      <c r="D5" s="84" t="n">
        <f aca="false">가정값!$B$31</f>
        <v>3</v>
      </c>
      <c r="E5" s="46" t="n">
        <f aca="false">B5*15</f>
        <v>450</v>
      </c>
      <c r="F5" s="46" t="n">
        <f aca="false">C5*24</f>
        <v>288</v>
      </c>
      <c r="G5" s="46" t="n">
        <f aca="false">D5*29</f>
        <v>87</v>
      </c>
      <c r="H5" s="50" t="n">
        <f aca="false">E5+F5+G5</f>
        <v>825</v>
      </c>
      <c r="I5" s="54" t="n">
        <f aca="false">-(E5*0.2+F5*0.099+C5*0.5+G5*0.099+D5*0.5)</f>
        <v>-134.625</v>
      </c>
      <c r="J5" s="54" t="n">
        <f aca="false">-(E5*(1-0.2)*0.7+(F5*(1-0.099)-C5*0.5)*0.5+(G5*(1-0.099)-D5*0.5)*0.5)*가정값!$B$26</f>
        <v>-104.296875</v>
      </c>
      <c r="K5" s="85" t="n">
        <f aca="false">H5+I5+J5</f>
        <v>586.078125</v>
      </c>
    </row>
    <row r="6" customFormat="false" ht="21.75" hidden="false" customHeight="true" outlineLevel="0" collapsed="false">
      <c r="A6" s="86" t="s">
        <v>155</v>
      </c>
      <c r="B6" s="87" t="n">
        <f aca="false">가정값!$B$29</f>
        <v>30</v>
      </c>
      <c r="C6" s="87" t="n">
        <f aca="false">가정값!$B$30</f>
        <v>12</v>
      </c>
      <c r="D6" s="87" t="n">
        <f aca="false">가정값!$B$31</f>
        <v>3</v>
      </c>
      <c r="E6" s="47" t="n">
        <f aca="false">B6*15</f>
        <v>450</v>
      </c>
      <c r="F6" s="47" t="n">
        <f aca="false">C6*24</f>
        <v>288</v>
      </c>
      <c r="G6" s="47" t="n">
        <f aca="false">D6*29</f>
        <v>87</v>
      </c>
      <c r="H6" s="50" t="n">
        <f aca="false">E6+F6+G6</f>
        <v>825</v>
      </c>
      <c r="I6" s="52" t="n">
        <f aca="false">-(E6*0.2+F6*0.099+C6*0.5+G6*0.099+D6*0.5)</f>
        <v>-134.625</v>
      </c>
      <c r="J6" s="52" t="n">
        <f aca="false">-(E6*(1-0.2)*0.7+(F6*(1-0.099)-C6*0.5)*0.5+(G6*(1-0.099)-D6*0.5)*0.5)*가정값!$B$26</f>
        <v>-104.296875</v>
      </c>
      <c r="K6" s="88" t="n">
        <f aca="false">H6+I6+J6</f>
        <v>586.078125</v>
      </c>
    </row>
    <row r="7" customFormat="false" ht="21.75" hidden="false" customHeight="true" outlineLevel="0" collapsed="false">
      <c r="A7" s="89" t="s">
        <v>156</v>
      </c>
      <c r="B7" s="84" t="n">
        <f aca="false">가정값!$B$29</f>
        <v>30</v>
      </c>
      <c r="C7" s="84" t="n">
        <f aca="false">가정값!$B$30</f>
        <v>12</v>
      </c>
      <c r="D7" s="84" t="n">
        <f aca="false">가정값!$B$31</f>
        <v>3</v>
      </c>
      <c r="E7" s="46" t="n">
        <f aca="false">B7*15</f>
        <v>450</v>
      </c>
      <c r="F7" s="46" t="n">
        <f aca="false">C7*24</f>
        <v>288</v>
      </c>
      <c r="G7" s="46" t="n">
        <f aca="false">D7*29</f>
        <v>87</v>
      </c>
      <c r="H7" s="50" t="n">
        <f aca="false">E7+F7+G7</f>
        <v>825</v>
      </c>
      <c r="I7" s="54" t="n">
        <f aca="false">-(E7*0.2+F7*0.099+C7*0.5+G7*0.099+D7*0.5)</f>
        <v>-134.625</v>
      </c>
      <c r="J7" s="54" t="n">
        <f aca="false">-(E7*(1-0.2)*0.7+(F7*(1-0.099)-C7*0.5)*0.5+(G7*(1-0.099)-D7*0.5)*0.5)*가정값!$B$26</f>
        <v>-104.296875</v>
      </c>
      <c r="K7" s="90" t="n">
        <f aca="false">H7+I7+J7</f>
        <v>586.078125</v>
      </c>
    </row>
    <row r="8" customFormat="false" ht="21.75" hidden="false" customHeight="true" outlineLevel="0" collapsed="false">
      <c r="A8" s="91" t="s">
        <v>157</v>
      </c>
      <c r="B8" s="87" t="n">
        <f aca="false">가정값!$B$29</f>
        <v>30</v>
      </c>
      <c r="C8" s="87" t="n">
        <f aca="false">가정값!$B$30</f>
        <v>12</v>
      </c>
      <c r="D8" s="87" t="n">
        <f aca="false">가정값!$B$31</f>
        <v>3</v>
      </c>
      <c r="E8" s="47" t="n">
        <f aca="false">B8*15</f>
        <v>450</v>
      </c>
      <c r="F8" s="47" t="n">
        <f aca="false">C8*24</f>
        <v>288</v>
      </c>
      <c r="G8" s="47" t="n">
        <f aca="false">D8*29</f>
        <v>87</v>
      </c>
      <c r="H8" s="50" t="n">
        <f aca="false">E8+F8+G8</f>
        <v>825</v>
      </c>
      <c r="I8" s="52" t="n">
        <f aca="false">-(E8*0.2+F8*0.099+C8*0.5+G8*0.099+D8*0.5)</f>
        <v>-134.625</v>
      </c>
      <c r="J8" s="52" t="n">
        <f aca="false">-(E8*(1-0.2)*0.7+(F8*(1-0.099)-C8*0.5)*0.5+(G8*(1-0.099)-D8*0.5)*0.5)*가정값!$B$26</f>
        <v>-104.296875</v>
      </c>
      <c r="K8" s="92" t="n">
        <f aca="false">H8+I8+J8</f>
        <v>586.078125</v>
      </c>
    </row>
    <row r="9" customFormat="false" ht="21.75" hidden="false" customHeight="true" outlineLevel="0" collapsed="false">
      <c r="A9" s="93" t="s">
        <v>158</v>
      </c>
      <c r="B9" s="84" t="n">
        <f aca="false">가정값!$B$29</f>
        <v>30</v>
      </c>
      <c r="C9" s="84" t="n">
        <f aca="false">가정값!$B$30</f>
        <v>12</v>
      </c>
      <c r="D9" s="84" t="n">
        <f aca="false">가정값!$B$31</f>
        <v>3</v>
      </c>
      <c r="E9" s="46" t="n">
        <f aca="false">B9*15</f>
        <v>450</v>
      </c>
      <c r="F9" s="46" t="n">
        <f aca="false">C9*24</f>
        <v>288</v>
      </c>
      <c r="G9" s="46" t="n">
        <f aca="false">D9*29</f>
        <v>87</v>
      </c>
      <c r="H9" s="50" t="n">
        <f aca="false">E9+F9+G9</f>
        <v>825</v>
      </c>
      <c r="I9" s="54" t="n">
        <f aca="false">-(E9*0.2+F9*0.099+C9*0.5+G9*0.099+D9*0.5)</f>
        <v>-134.625</v>
      </c>
      <c r="J9" s="54" t="n">
        <f aca="false">-(E9*(1-0.2)*0.7+(F9*(1-0.099)-C9*0.5)*0.5+(G9*(1-0.099)-D9*0.5)*0.5)*가정값!$B$26</f>
        <v>-104.296875</v>
      </c>
      <c r="K9" s="94" t="n">
        <f aca="false">H9+I9+J9</f>
        <v>586.078125</v>
      </c>
    </row>
    <row r="10" customFormat="false" ht="21.75" hidden="false" customHeight="true" outlineLevel="0" collapsed="false">
      <c r="A10" s="95" t="s">
        <v>159</v>
      </c>
      <c r="B10" s="87" t="n">
        <f aca="false">가정값!$B$29</f>
        <v>30</v>
      </c>
      <c r="C10" s="87" t="n">
        <f aca="false">가정값!$B$30</f>
        <v>12</v>
      </c>
      <c r="D10" s="87" t="n">
        <f aca="false">가정값!$B$31</f>
        <v>3</v>
      </c>
      <c r="E10" s="47" t="n">
        <f aca="false">B10*15</f>
        <v>450</v>
      </c>
      <c r="F10" s="47" t="n">
        <f aca="false">C10*24</f>
        <v>288</v>
      </c>
      <c r="G10" s="47" t="n">
        <f aca="false">D10*29</f>
        <v>87</v>
      </c>
      <c r="H10" s="50" t="n">
        <f aca="false">E10+F10+G10</f>
        <v>825</v>
      </c>
      <c r="I10" s="52" t="n">
        <f aca="false">-(E10*0.2+F10*0.099+C10*0.5+G10*0.099+D10*0.5)</f>
        <v>-134.625</v>
      </c>
      <c r="J10" s="52" t="n">
        <f aca="false">-(E10*(1-0.2)*0.7+(F10*(1-0.099)-C10*0.5)*0.5+(G10*(1-0.099)-D10*0.5)*0.5)*가정값!$B$26</f>
        <v>-104.296875</v>
      </c>
      <c r="K10" s="96" t="n">
        <f aca="false">H10+I10+J10</f>
        <v>586.078125</v>
      </c>
    </row>
    <row r="11" customFormat="false" ht="21.75" hidden="false" customHeight="true" outlineLevel="0" collapsed="false">
      <c r="A11" s="97" t="s">
        <v>160</v>
      </c>
      <c r="B11" s="84" t="n">
        <f aca="false">가정값!$B$29</f>
        <v>30</v>
      </c>
      <c r="C11" s="84" t="n">
        <f aca="false">가정값!$B$30</f>
        <v>12</v>
      </c>
      <c r="D11" s="84" t="n">
        <f aca="false">가정값!$B$31</f>
        <v>3</v>
      </c>
      <c r="E11" s="46" t="n">
        <f aca="false">B11*15</f>
        <v>450</v>
      </c>
      <c r="F11" s="46" t="n">
        <f aca="false">C11*24</f>
        <v>288</v>
      </c>
      <c r="G11" s="46" t="n">
        <f aca="false">D11*29</f>
        <v>87</v>
      </c>
      <c r="H11" s="50" t="n">
        <f aca="false">E11+F11+G11</f>
        <v>825</v>
      </c>
      <c r="I11" s="54" t="n">
        <f aca="false">-(E11*0.2+F11*0.099+C11*0.5+G11*0.099+D11*0.5)</f>
        <v>-134.625</v>
      </c>
      <c r="J11" s="54" t="n">
        <f aca="false">-(E11*(1-0.2)*0.7+(F11*(1-0.099)-C11*0.5)*0.5+(G11*(1-0.099)-D11*0.5)*0.5)*가정값!$B$26</f>
        <v>-104.296875</v>
      </c>
      <c r="K11" s="98" t="n">
        <f aca="false">H11+I11+J11</f>
        <v>586.078125</v>
      </c>
    </row>
    <row r="12" customFormat="false" ht="21.75" hidden="false" customHeight="true" outlineLevel="0" collapsed="false">
      <c r="A12" s="99" t="s">
        <v>161</v>
      </c>
      <c r="B12" s="87" t="n">
        <f aca="false">가정값!$B$29</f>
        <v>30</v>
      </c>
      <c r="C12" s="87" t="n">
        <f aca="false">가정값!$B$30</f>
        <v>12</v>
      </c>
      <c r="D12" s="87" t="n">
        <f aca="false">가정값!$B$31</f>
        <v>3</v>
      </c>
      <c r="E12" s="47" t="n">
        <f aca="false">B12*15</f>
        <v>450</v>
      </c>
      <c r="F12" s="47" t="n">
        <f aca="false">C12*24</f>
        <v>288</v>
      </c>
      <c r="G12" s="47" t="n">
        <f aca="false">D12*29</f>
        <v>87</v>
      </c>
      <c r="H12" s="50" t="n">
        <f aca="false">E12+F12+G12</f>
        <v>825</v>
      </c>
      <c r="I12" s="52" t="n">
        <f aca="false">-(E12*0.2+F12*0.099+C12*0.5+G12*0.099+D12*0.5)</f>
        <v>-134.625</v>
      </c>
      <c r="J12" s="52" t="n">
        <f aca="false">-(E12*(1-0.2)*0.7+(F12*(1-0.099)-C12*0.5)*0.5+(G12*(1-0.099)-D12*0.5)*0.5)*가정값!$B$26</f>
        <v>-104.296875</v>
      </c>
      <c r="K12" s="100" t="n">
        <f aca="false">H12+I12+J12</f>
        <v>586.078125</v>
      </c>
    </row>
    <row r="13" customFormat="false" ht="24" hidden="false" customHeight="true" outlineLevel="0" collapsed="false">
      <c r="A13" s="40" t="s">
        <v>162</v>
      </c>
      <c r="B13" s="101" t="n">
        <f aca="false">SUM(B5:B12)</f>
        <v>240</v>
      </c>
      <c r="C13" s="101" t="n">
        <f aca="false">SUM(C5:C12)</f>
        <v>96</v>
      </c>
      <c r="D13" s="101" t="n">
        <f aca="false">SUM(D5:D12)</f>
        <v>24</v>
      </c>
      <c r="E13" s="85" t="n">
        <f aca="false">SUM(E5:E12)</f>
        <v>3600</v>
      </c>
      <c r="F13" s="85" t="n">
        <f aca="false">SUM(F5:F12)</f>
        <v>2304</v>
      </c>
      <c r="G13" s="85" t="n">
        <f aca="false">SUM(G5:G12)</f>
        <v>696</v>
      </c>
      <c r="H13" s="85" t="n">
        <f aca="false">SUM(H5:H12)</f>
        <v>6600</v>
      </c>
      <c r="I13" s="85" t="n">
        <f aca="false">SUM(I5:I12)</f>
        <v>-1077</v>
      </c>
      <c r="J13" s="85" t="n">
        <f aca="false">SUM(J5:J12)</f>
        <v>-834.375</v>
      </c>
      <c r="K13" s="85" t="n">
        <f aca="false">SUM(K5:K12)</f>
        <v>4688.625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2026-02-21T04:55:38Z</dcterms:created>
  <dc:creator>openpyxl</dc:creator>
  <dc:description/>
  <dc:language>en-US</dc:language>
  <cp:lastModifiedBy/>
  <dcterms:modified xsi:type="dcterms:W3CDTF">2026-02-21T05:10:11Z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