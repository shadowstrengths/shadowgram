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시장 인텔리전스" sheetId="1" state="visible" r:id="rId3"/>
    <sheet name="② 국가별 파트너 설정" sheetId="2" state="visible" r:id="rId4"/>
    <sheet name="③ 12개월 성장 시뮬" sheetId="3" state="visible" r:id="rId5"/>
    <sheet name="④ 요약 대시보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<sst xmlns="http://schemas.openxmlformats.org/spreadsheetml/2006/main" count="250" uniqueCount="162">
  <si>
    <r>
      <rPr>
        <b val="true"/>
        <sz val="12"/>
        <color rgb="FFFFFFFF"/>
        <rFont val="Arial"/>
        <family val="0"/>
        <charset val="1"/>
      </rPr>
      <t xml:space="preserve">🌎 Shadowgram </t>
    </r>
    <r>
      <rPr>
        <b val="true"/>
        <sz val="12"/>
        <color rgb="FFFFFFFF"/>
        <rFont val="Noto Sans CJK KR"/>
        <family val="2"/>
      </rPr>
      <t xml:space="preserve">국가별 시장 인텔리전스 — </t>
    </r>
    <r>
      <rPr>
        <b val="true"/>
        <sz val="12"/>
        <color rgb="FFFFFFFF"/>
        <rFont val="Arial"/>
        <family val="0"/>
        <charset val="1"/>
      </rPr>
      <t xml:space="preserve">Hotmart </t>
    </r>
    <r>
      <rPr>
        <b val="true"/>
        <sz val="12"/>
        <color rgb="FFFFFFFF"/>
        <rFont val="Noto Sans CJK KR"/>
        <family val="2"/>
      </rPr>
      <t xml:space="preserve">인지도 기반 파트너 잠재력</t>
    </r>
  </si>
  <si>
    <r>
      <rPr>
        <sz val="9"/>
        <color rgb="FFFFFFFF"/>
        <rFont val="Arial"/>
        <family val="0"/>
        <charset val="1"/>
      </rPr>
      <t xml:space="preserve">Source: Hotmart Press, World Bank, GSMA, PCMI 2024 | </t>
    </r>
    <r>
      <rPr>
        <sz val="9"/>
        <color rgb="FFFFFFFF"/>
        <rFont val="Noto Sans CJK KR"/>
        <family val="2"/>
      </rPr>
      <t xml:space="preserve">스페인어 </t>
    </r>
    <r>
      <rPr>
        <sz val="9"/>
        <color rgb="FFFFFFFF"/>
        <rFont val="Arial"/>
        <family val="0"/>
        <charset val="1"/>
      </rPr>
      <t xml:space="preserve">4</t>
    </r>
    <r>
      <rPr>
        <sz val="9"/>
        <color rgb="FFFFFFFF"/>
        <rFont val="Noto Sans CJK KR"/>
        <family val="2"/>
      </rPr>
      <t xml:space="preserve">개국 </t>
    </r>
    <r>
      <rPr>
        <sz val="9"/>
        <color rgb="FFFFFFFF"/>
        <rFont val="Arial"/>
        <family val="0"/>
        <charset val="1"/>
      </rPr>
      <t xml:space="preserve">+ </t>
    </r>
    <r>
      <rPr>
        <sz val="9"/>
        <color rgb="FFFFFFFF"/>
        <rFont val="Noto Sans CJK KR"/>
        <family val="2"/>
      </rPr>
      <t xml:space="preserve">포르투갈어 </t>
    </r>
    <r>
      <rPr>
        <sz val="9"/>
        <color rgb="FFFFFFFF"/>
        <rFont val="Arial"/>
        <family val="0"/>
        <charset val="1"/>
      </rPr>
      <t xml:space="preserve">3</t>
    </r>
    <r>
      <rPr>
        <sz val="9"/>
        <color rgb="FFFFFFFF"/>
        <rFont val="Noto Sans CJK KR"/>
        <family val="2"/>
      </rPr>
      <t xml:space="preserve">개국</t>
    </r>
  </si>
  <si>
    <t xml:space="preserve">국가</t>
  </si>
  <si>
    <t xml:space="preserve">언어</t>
  </si>
  <si>
    <r>
      <rPr>
        <b val="true"/>
        <sz val="10"/>
        <color rgb="FFFFFFFF"/>
        <rFont val="Arial"/>
        <family val="0"/>
        <charset val="1"/>
      </rPr>
      <t xml:space="preserve">Hotmart
</t>
    </r>
    <r>
      <rPr>
        <b val="true"/>
        <sz val="10"/>
        <color rgb="FFFFFFFF"/>
        <rFont val="Noto Sans CJK KR"/>
        <family val="2"/>
      </rPr>
      <t xml:space="preserve">인지도</t>
    </r>
  </si>
  <si>
    <r>
      <rPr>
        <b val="true"/>
        <sz val="10"/>
        <color rgb="FFFFFFFF"/>
        <rFont val="Noto Sans CJK KR"/>
        <family val="2"/>
      </rPr>
      <t xml:space="preserve">디지털상품
시장규모</t>
    </r>
    <r>
      <rPr>
        <b val="true"/>
        <sz val="10"/>
        <color rgb="FFFFFFFF"/>
        <rFont val="Arial"/>
        <family val="0"/>
        <charset val="1"/>
      </rPr>
      <t xml:space="preserve">($M)</t>
    </r>
  </si>
  <si>
    <r>
      <rPr>
        <b val="true"/>
        <sz val="10"/>
        <color rgb="FFFFFFFF"/>
        <rFont val="Noto Sans CJK KR"/>
        <family val="2"/>
      </rPr>
      <t xml:space="preserve">월평균
소득</t>
    </r>
    <r>
      <rPr>
        <b val="true"/>
        <sz val="10"/>
        <color rgb="FFFFFFFF"/>
        <rFont val="Arial"/>
        <family val="0"/>
        <charset val="1"/>
      </rPr>
      <t xml:space="preserve">($)</t>
    </r>
  </si>
  <si>
    <t xml:space="preserve">인터넷
보급률</t>
  </si>
  <si>
    <t xml:space="preserve">모바일
결제율</t>
  </si>
  <si>
    <r>
      <rPr>
        <b val="true"/>
        <sz val="10"/>
        <color rgb="FFFFFFFF"/>
        <rFont val="Arial"/>
        <family val="0"/>
        <charset val="1"/>
      </rPr>
      <t xml:space="preserve">Hotmart
</t>
    </r>
    <r>
      <rPr>
        <b val="true"/>
        <sz val="10"/>
        <color rgb="FFFFFFFF"/>
        <rFont val="Noto Sans CJK KR"/>
        <family val="2"/>
      </rPr>
      <t xml:space="preserve">사무소</t>
    </r>
  </si>
  <si>
    <t xml:space="preserve">파트너
잠재력지수</t>
  </si>
  <si>
    <r>
      <rPr>
        <b val="true"/>
        <sz val="10"/>
        <color rgb="FFFFFFFF"/>
        <rFont val="Noto Sans CJK KR"/>
        <family val="2"/>
      </rPr>
      <t xml:space="preserve">권장 초기
파트너수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명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</si>
  <si>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KR"/>
        <family val="2"/>
      </rPr>
      <t xml:space="preserve">권장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KR"/>
        <family val="2"/>
      </rPr>
      <t xml:space="preserve">년후
파트너수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명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</si>
  <si>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🇧🇷 브라질</t>
  </si>
  <si>
    <t xml:space="preserve">포르투갈어</t>
  </si>
  <si>
    <t xml:space="preserve">★★★★★</t>
  </si>
  <si>
    <t xml:space="preserve">✅ 보유</t>
  </si>
  <si>
    <r>
      <rPr>
        <sz val="9"/>
        <color rgb="FF555555"/>
        <rFont val="Noto Sans CJK KR"/>
        <family val="2"/>
      </rPr>
      <t xml:space="preserve">홈마켓 창업국</t>
    </r>
    <r>
      <rPr>
        <sz val="9"/>
        <color rgb="FF555555"/>
        <rFont val="Arial"/>
        <family val="0"/>
        <charset val="1"/>
      </rPr>
      <t xml:space="preserve">. 26M </t>
    </r>
    <r>
      <rPr>
        <sz val="9"/>
        <color rgb="FF555555"/>
        <rFont val="Noto Sans CJK KR"/>
        <family val="2"/>
      </rPr>
      <t xml:space="preserve">유저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Noto Sans CJK KR"/>
        <family val="2"/>
      </rPr>
      <t xml:space="preserve">전체 거래의 </t>
    </r>
    <r>
      <rPr>
        <sz val="9"/>
        <color rgb="FF555555"/>
        <rFont val="Arial"/>
        <family val="0"/>
        <charset val="1"/>
      </rPr>
      <t xml:space="preserve">60%+</t>
    </r>
  </si>
  <si>
    <t xml:space="preserve">🇲🇽 멕시코</t>
  </si>
  <si>
    <t xml:space="preserve">스페인어</t>
  </si>
  <si>
    <t xml:space="preserve">★★★★☆</t>
  </si>
  <si>
    <r>
      <rPr>
        <sz val="9"/>
        <color rgb="FF555555"/>
        <rFont val="Arial"/>
        <family val="0"/>
        <charset val="1"/>
      </rPr>
      <t xml:space="preserve">2</t>
    </r>
    <r>
      <rPr>
        <sz val="9"/>
        <color rgb="FF555555"/>
        <rFont val="Noto Sans CJK KR"/>
        <family val="2"/>
      </rPr>
      <t xml:space="preserve">위 시장</t>
    </r>
    <r>
      <rPr>
        <sz val="9"/>
        <color rgb="FF555555"/>
        <rFont val="Arial"/>
        <family val="0"/>
        <charset val="1"/>
      </rPr>
      <t xml:space="preserve">. LATAM GMV 50% </t>
    </r>
    <r>
      <rPr>
        <sz val="9"/>
        <color rgb="FF555555"/>
        <rFont val="Noto Sans CJK KR"/>
        <family val="2"/>
      </rPr>
      <t xml:space="preserve">성장 견인</t>
    </r>
  </si>
  <si>
    <t xml:space="preserve">🇨🇴 콜롬비아</t>
  </si>
  <si>
    <r>
      <rPr>
        <sz val="9"/>
        <color rgb="FF555555"/>
        <rFont val="Arial"/>
        <family val="0"/>
        <charset val="1"/>
      </rPr>
      <t xml:space="preserve">24.2% YoY </t>
    </r>
    <r>
      <rPr>
        <sz val="9"/>
        <color rgb="FF555555"/>
        <rFont val="Noto Sans CJK KR"/>
        <family val="2"/>
      </rPr>
      <t xml:space="preserve">성장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KR"/>
        <family val="2"/>
      </rPr>
      <t xml:space="preserve">오피스 보유</t>
    </r>
  </si>
  <si>
    <t xml:space="preserve">🇺🇸 미국 히스패닉</t>
  </si>
  <si>
    <t xml:space="preserve">★★★☆☆</t>
  </si>
  <si>
    <r>
      <rPr>
        <sz val="9"/>
        <color rgb="FF555555"/>
        <rFont val="Arial"/>
        <family val="0"/>
        <charset val="1"/>
      </rPr>
      <t xml:space="preserve">$2.4T </t>
    </r>
    <r>
      <rPr>
        <sz val="9"/>
        <color rgb="FF555555"/>
        <rFont val="Noto Sans CJK KR"/>
        <family val="2"/>
      </rPr>
      <t xml:space="preserve">구매력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KR"/>
        <family val="2"/>
      </rPr>
      <t xml:space="preserve">소득 최고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KR"/>
        <family val="2"/>
      </rPr>
      <t xml:space="preserve">오피스 보유</t>
    </r>
  </si>
  <si>
    <t xml:space="preserve">🇦🇷 아르헨티나</t>
  </si>
  <si>
    <t xml:space="preserve">—</t>
  </si>
  <si>
    <r>
      <rPr>
        <sz val="9"/>
        <color rgb="FF555555"/>
        <rFont val="Noto Sans CJK KR"/>
        <family val="2"/>
      </rPr>
      <t xml:space="preserve">인플레이션 고려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Noto Sans CJK KR"/>
        <family val="2"/>
      </rPr>
      <t xml:space="preserve">달러 수익 선호도 높음</t>
    </r>
  </si>
  <si>
    <t xml:space="preserve">🇨🇱 칠레</t>
  </si>
  <si>
    <r>
      <rPr>
        <sz val="9"/>
        <color rgb="FF555555"/>
        <rFont val="Noto Sans CJK KR"/>
        <family val="2"/>
      </rPr>
      <t xml:space="preserve">인터넷 보급 최고</t>
    </r>
    <r>
      <rPr>
        <sz val="9"/>
        <color rgb="FF555555"/>
        <rFont val="Arial"/>
        <family val="0"/>
        <charset val="1"/>
      </rPr>
      <t xml:space="preserve">(94%). </t>
    </r>
    <r>
      <rPr>
        <sz val="9"/>
        <color rgb="FF555555"/>
        <rFont val="Noto Sans CJK KR"/>
        <family val="2"/>
      </rPr>
      <t xml:space="preserve">소득 지역 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KR"/>
        <family val="2"/>
      </rPr>
      <t xml:space="preserve">위</t>
    </r>
  </si>
  <si>
    <t xml:space="preserve">🇵🇹 포르투갈</t>
  </si>
  <si>
    <t xml:space="preserve">★★☆☆☆</t>
  </si>
  <si>
    <r>
      <rPr>
        <sz val="9"/>
        <color rgb="FF555555"/>
        <rFont val="Noto Sans CJK KR"/>
        <family val="2"/>
      </rPr>
      <t xml:space="preserve">유럽 포르투갈어 시장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KR"/>
        <family val="2"/>
      </rPr>
      <t xml:space="preserve">브라질 콘텐츠 소비</t>
    </r>
  </si>
  <si>
    <t xml:space="preserve">📊 전체 합계</t>
  </si>
  <si>
    <r>
      <rPr>
        <sz val="9"/>
        <color rgb="FFFFFFFF"/>
        <rFont val="Arial"/>
        <family val="0"/>
        <charset val="1"/>
      </rPr>
      <t xml:space="preserve">📊 Hotmart </t>
    </r>
    <r>
      <rPr>
        <sz val="9"/>
        <color rgb="FFFFFFFF"/>
        <rFont val="Noto Sans CJK KR"/>
        <family val="2"/>
      </rPr>
      <t xml:space="preserve">플랫폼 핵심 통계 </t>
    </r>
    <r>
      <rPr>
        <sz val="9"/>
        <color rgb="FFFFFFFF"/>
        <rFont val="Arial"/>
        <family val="0"/>
        <charset val="1"/>
      </rPr>
      <t xml:space="preserve">(2024 </t>
    </r>
    <r>
      <rPr>
        <sz val="9"/>
        <color rgb="FFFFFFFF"/>
        <rFont val="Noto Sans CJK KR"/>
        <family val="2"/>
      </rPr>
      <t xml:space="preserve">공식 발표</t>
    </r>
    <r>
      <rPr>
        <sz val="9"/>
        <color rgb="FFFFFFFF"/>
        <rFont val="Arial"/>
        <family val="0"/>
        <charset val="1"/>
      </rPr>
      <t xml:space="preserve">)</t>
    </r>
  </si>
  <si>
    <t xml:space="preserve">지표</t>
  </si>
  <si>
    <t xml:space="preserve">수치</t>
  </si>
  <si>
    <t xml:space="preserve">비고</t>
  </si>
  <si>
    <t xml:space="preserve">총 등록 유저</t>
  </si>
  <si>
    <r>
      <rPr>
        <b val="true"/>
        <sz val="10"/>
        <color rgb="FF1F4E79"/>
        <rFont val="Arial"/>
        <family val="0"/>
        <charset val="1"/>
      </rPr>
      <t xml:space="preserve">2,600</t>
    </r>
    <r>
      <rPr>
        <b val="true"/>
        <sz val="10"/>
        <color rgb="FF1F4E79"/>
        <rFont val="Noto Sans CJK KR"/>
        <family val="2"/>
      </rPr>
      <t xml:space="preserve">만명</t>
    </r>
  </si>
  <si>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KR"/>
        <family val="2"/>
      </rPr>
      <t xml:space="preserve">년 공식 발표</t>
    </r>
  </si>
  <si>
    <t xml:space="preserve">누적 크리에이터 수익</t>
  </si>
  <si>
    <r>
      <rPr>
        <b val="true"/>
        <sz val="10"/>
        <color rgb="FF1F4E79"/>
        <rFont val="Arial"/>
        <family val="0"/>
        <charset val="1"/>
      </rPr>
      <t xml:space="preserve">$100</t>
    </r>
    <r>
      <rPr>
        <b val="true"/>
        <sz val="10"/>
        <color rgb="FF1F4E79"/>
        <rFont val="Noto Sans CJK KR"/>
        <family val="2"/>
      </rPr>
      <t xml:space="preserve">억 </t>
    </r>
    <r>
      <rPr>
        <b val="true"/>
        <sz val="10"/>
        <color rgb="FF1F4E79"/>
        <rFont val="Arial"/>
        <family val="0"/>
        <charset val="1"/>
      </rPr>
      <t xml:space="preserve">(GMV)</t>
    </r>
  </si>
  <si>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KR"/>
        <family val="2"/>
      </rPr>
      <t xml:space="preserve">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KR"/>
        <family val="2"/>
      </rPr>
      <t xml:space="preserve">월 기록 돌파</t>
    </r>
  </si>
  <si>
    <t xml:space="preserve">등록 상품 수</t>
  </si>
  <si>
    <r>
      <rPr>
        <b val="true"/>
        <sz val="10"/>
        <color rgb="FF1F4E79"/>
        <rFont val="Arial"/>
        <family val="0"/>
        <charset val="1"/>
      </rPr>
      <t xml:space="preserve">370,000+</t>
    </r>
    <r>
      <rPr>
        <b val="true"/>
        <sz val="10"/>
        <color rgb="FF1F4E79"/>
        <rFont val="Noto Sans CJK KR"/>
        <family val="2"/>
      </rPr>
      <t xml:space="preserve">개</t>
    </r>
  </si>
  <si>
    <r>
      <rPr>
        <sz val="10"/>
        <color rgb="FF000000"/>
        <rFont val="Noto Sans CJK KR"/>
        <family val="2"/>
      </rPr>
      <t xml:space="preserve">콘텐츠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KR"/>
        <family val="2"/>
      </rPr>
      <t xml:space="preserve">코스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KR"/>
        <family val="2"/>
      </rPr>
      <t xml:space="preserve">소프트웨어</t>
    </r>
  </si>
  <si>
    <t xml:space="preserve">판매 국가 수</t>
  </si>
  <si>
    <r>
      <rPr>
        <b val="true"/>
        <sz val="10"/>
        <color rgb="FF1F4E79"/>
        <rFont val="Arial"/>
        <family val="0"/>
        <charset val="1"/>
      </rPr>
      <t xml:space="preserve">185</t>
    </r>
    <r>
      <rPr>
        <b val="true"/>
        <sz val="10"/>
        <color rgb="FF1F4E79"/>
        <rFont val="Noto Sans CJK KR"/>
        <family val="2"/>
      </rPr>
      <t xml:space="preserve">개국</t>
    </r>
  </si>
  <si>
    <t xml:space="preserve">사실상 전세계</t>
  </si>
  <si>
    <r>
      <rPr>
        <sz val="10"/>
        <color rgb="FF000000"/>
        <rFont val="Arial"/>
        <family val="0"/>
        <charset val="1"/>
      </rPr>
      <t xml:space="preserve">LATAM GMV </t>
    </r>
    <r>
      <rPr>
        <sz val="10"/>
        <color rgb="FF000000"/>
        <rFont val="Noto Sans CJK KR"/>
        <family val="2"/>
      </rPr>
      <t xml:space="preserve">성장 </t>
    </r>
    <r>
      <rPr>
        <sz val="10"/>
        <color rgb="FF000000"/>
        <rFont val="Arial"/>
        <family val="0"/>
        <charset val="1"/>
      </rPr>
      <t xml:space="preserve">(ex-Brazil)</t>
    </r>
  </si>
  <si>
    <t xml:space="preserve">+50% YoY</t>
  </si>
  <si>
    <t xml:space="preserve">2022→2023</t>
  </si>
  <si>
    <r>
      <rPr>
        <sz val="10"/>
        <color rgb="FF000000"/>
        <rFont val="Noto Sans CJK KR"/>
        <family val="2"/>
      </rPr>
      <t xml:space="preserve">제휴 파트너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추정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</si>
  <si>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1F4E79"/>
        <rFont val="Arial"/>
        <family val="0"/>
        <charset val="1"/>
      </rPr>
      <t xml:space="preserve">53,154</t>
    </r>
    <r>
      <rPr>
        <b val="true"/>
        <sz val="10"/>
        <color rgb="FF1F4E79"/>
        <rFont val="Noto Sans CJK KR"/>
        <family val="2"/>
      </rPr>
      <t xml:space="preserve">명</t>
    </r>
    <r>
      <rPr>
        <b val="true"/>
        <sz val="10"/>
        <color rgb="FF1F4E79"/>
        <rFont val="Arial"/>
        <family val="0"/>
        <charset val="1"/>
      </rPr>
      <t xml:space="preserve">+</t>
    </r>
  </si>
  <si>
    <r>
      <rPr>
        <sz val="10"/>
        <color rgb="FF000000"/>
        <rFont val="Arial"/>
        <family val="0"/>
        <charset val="1"/>
      </rPr>
      <t xml:space="preserve">AffiliateDB </t>
    </r>
    <r>
      <rPr>
        <sz val="10"/>
        <color rgb="FF000000"/>
        <rFont val="Noto Sans CJK KR"/>
        <family val="2"/>
      </rPr>
      <t xml:space="preserve">기준</t>
    </r>
  </si>
  <si>
    <t xml:space="preserve">브라질 시장 점유</t>
  </si>
  <si>
    <t xml:space="preserve">25%+ (LATAM e-learning)</t>
  </si>
  <si>
    <r>
      <rPr>
        <sz val="10"/>
        <color rgb="FF000000"/>
        <rFont val="Noto Sans CJK KR"/>
        <family val="2"/>
      </rPr>
      <t xml:space="preserve">지역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KR"/>
        <family val="2"/>
      </rPr>
      <t xml:space="preserve">위 플랫폼</t>
    </r>
  </si>
  <si>
    <t xml:space="preserve">🎯 국가별 파트너 수 직접 설정 — 수익 자동 계산</t>
  </si>
  <si>
    <r>
      <rPr>
        <sz val="9"/>
        <color rgb="FFFFFFFF"/>
        <rFont val="Noto Sans CJK KR"/>
        <family val="2"/>
      </rPr>
      <t xml:space="preserve">파란 셀 숫자만 바꾸면 전체 수익 자동 연동 </t>
    </r>
    <r>
      <rPr>
        <sz val="9"/>
        <color rgb="FFFFFFFF"/>
        <rFont val="Arial"/>
        <family val="0"/>
        <charset val="1"/>
      </rPr>
      <t xml:space="preserve">| </t>
    </r>
    <r>
      <rPr>
        <sz val="9"/>
        <color rgb="FFFFFFFF"/>
        <rFont val="Noto Sans CJK KR"/>
        <family val="2"/>
      </rPr>
      <t xml:space="preserve">파레토 법칙 국가별 적용</t>
    </r>
  </si>
  <si>
    <r>
      <rPr>
        <sz val="9"/>
        <color rgb="FFFFFFFF"/>
        <rFont val="Noto Sans CJK KR"/>
        <family val="2"/>
      </rPr>
      <t xml:space="preserve">💰 번들 오너 단가 </t>
    </r>
    <r>
      <rPr>
        <sz val="9"/>
        <color rgb="FFFFFFFF"/>
        <rFont val="Arial"/>
        <family val="0"/>
        <charset val="1"/>
      </rPr>
      <t xml:space="preserve">(Hotmart 9.9% </t>
    </r>
    <r>
      <rPr>
        <sz val="9"/>
        <color rgb="FFFFFFFF"/>
        <rFont val="Noto Sans CJK KR"/>
        <family val="2"/>
      </rPr>
      <t xml:space="preserve">수수료 차감 후</t>
    </r>
    <r>
      <rPr>
        <sz val="9"/>
        <color rgb="FFFFFFFF"/>
        <rFont val="Arial"/>
        <family val="0"/>
        <charset val="1"/>
      </rPr>
      <t xml:space="preserve">)</t>
    </r>
  </si>
  <si>
    <t xml:space="preserve">번들</t>
  </si>
  <si>
    <r>
      <rPr>
        <b val="true"/>
        <sz val="10"/>
        <color rgb="FFFFFFFF"/>
        <rFont val="Noto Sans CJK KR"/>
        <family val="2"/>
      </rPr>
      <t xml:space="preserve">판매가</t>
    </r>
    <r>
      <rPr>
        <b val="true"/>
        <sz val="10"/>
        <color rgb="FFFFFFFF"/>
        <rFont val="Arial"/>
        <family val="0"/>
        <charset val="1"/>
      </rPr>
      <t xml:space="preserve">($)</t>
    </r>
  </si>
  <si>
    <t xml:space="preserve">커미션율</t>
  </si>
  <si>
    <r>
      <rPr>
        <b val="true"/>
        <sz val="10"/>
        <color rgb="FFFFFFFF"/>
        <rFont val="Noto Sans CJK KR"/>
        <family val="2"/>
      </rPr>
      <t xml:space="preserve">오너단가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</si>
  <si>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Noto Sans CJK KR"/>
        <family val="2"/>
      </rPr>
      <t xml:space="preserve">오너단가</t>
    </r>
    <r>
      <rPr>
        <b val="true"/>
        <sz val="10"/>
        <color rgb="FFFFFFFF"/>
        <rFont val="Arial"/>
        <family val="0"/>
        <charset val="1"/>
      </rPr>
      <t xml:space="preserve">(₩)</t>
    </r>
  </si>
  <si>
    <t xml:space="preserve">T1+AppA</t>
  </si>
  <si>
    <t xml:space="preserve">T2+AppB</t>
  </si>
  <si>
    <t xml:space="preserve">T3+AppC</t>
  </si>
  <si>
    <t xml:space="preserve">⚙️ 공통 가정</t>
  </si>
  <si>
    <t xml:space="preserve">항목</t>
  </si>
  <si>
    <t xml:space="preserve">값</t>
  </si>
  <si>
    <t xml:space="preserve">단위</t>
  </si>
  <si>
    <r>
      <rPr>
        <sz val="10"/>
        <color rgb="FF000000"/>
        <rFont val="Arial"/>
        <family val="0"/>
        <charset val="1"/>
      </rPr>
      <t xml:space="preserve">T2 OTO </t>
    </r>
    <r>
      <rPr>
        <sz val="10"/>
        <color rgb="FF000000"/>
        <rFont val="Noto Sans CJK KR"/>
        <family val="2"/>
      </rPr>
      <t xml:space="preserve">전환율</t>
    </r>
  </si>
  <si>
    <r>
      <rPr>
        <sz val="10"/>
        <color rgb="FF000000"/>
        <rFont val="Arial"/>
        <family val="0"/>
        <charset val="1"/>
      </rPr>
      <t xml:space="preserve">T3 </t>
    </r>
    <r>
      <rPr>
        <sz val="10"/>
        <color rgb="FF000000"/>
        <rFont val="Noto Sans CJK KR"/>
        <family val="2"/>
      </rPr>
      <t xml:space="preserve">이메일 전환율</t>
    </r>
  </si>
  <si>
    <r>
      <rPr>
        <sz val="10"/>
        <color rgb="FF000000"/>
        <rFont val="Noto Sans CJK KR"/>
        <family val="2"/>
      </rPr>
      <t xml:space="preserve">환율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달러</t>
    </r>
    <r>
      <rPr>
        <sz val="10"/>
        <color rgb="FF000000"/>
        <rFont val="Arial"/>
        <family val="0"/>
        <charset val="1"/>
      </rPr>
      <t xml:space="preserve">)</t>
    </r>
  </si>
  <si>
    <t xml:space="preserve">원</t>
  </si>
  <si>
    <t xml:space="preserve">파레토 상위 비율</t>
  </si>
  <si>
    <r>
      <rPr>
        <sz val="10"/>
        <color rgb="FF000000"/>
        <rFont val="Noto Sans CJK KR"/>
        <family val="2"/>
      </rPr>
      <t xml:space="preserve">상위 파트너 월판매</t>
    </r>
    <r>
      <rPr>
        <sz val="10"/>
        <color rgb="FF000000"/>
        <rFont val="Arial"/>
        <family val="0"/>
        <charset val="1"/>
      </rPr>
      <t xml:space="preserve">(T1)</t>
    </r>
  </si>
  <si>
    <r>
      <rPr>
        <sz val="10"/>
        <color rgb="FF000000"/>
        <rFont val="Noto Sans CJK KR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명</t>
    </r>
  </si>
  <si>
    <r>
      <rPr>
        <sz val="10"/>
        <color rgb="FF000000"/>
        <rFont val="Noto Sans CJK KR"/>
        <family val="2"/>
      </rPr>
      <t xml:space="preserve">중간 파트너 월판매</t>
    </r>
    <r>
      <rPr>
        <sz val="10"/>
        <color rgb="FF000000"/>
        <rFont val="Arial"/>
        <family val="0"/>
        <charset val="1"/>
      </rPr>
      <t xml:space="preserve">(T1)</t>
    </r>
  </si>
  <si>
    <r>
      <rPr>
        <sz val="10"/>
        <color rgb="FF000000"/>
        <rFont val="Noto Sans CJK KR"/>
        <family val="2"/>
      </rPr>
      <t xml:space="preserve">하위 파트너 월판매</t>
    </r>
    <r>
      <rPr>
        <sz val="10"/>
        <color rgb="FF000000"/>
        <rFont val="Arial"/>
        <family val="0"/>
        <charset val="1"/>
      </rPr>
      <t xml:space="preserve">(T1)</t>
    </r>
  </si>
  <si>
    <t xml:space="preserve">🌍 국가별 파트너 수 설정 — 파란 셀에 원하는 수 직접 입력</t>
  </si>
  <si>
    <r>
      <rPr>
        <b val="true"/>
        <sz val="10"/>
        <color rgb="FFFFFFFF"/>
        <rFont val="Noto Sans CJK KR"/>
        <family val="2"/>
      </rPr>
      <t xml:space="preserve">설정
파트너수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명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</si>
  <si>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KR"/>
        <family val="2"/>
      </rPr>
      <t xml:space="preserve">상위
파트너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명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</si>
  <si>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KR"/>
        <family val="2"/>
      </rPr>
      <t xml:space="preserve">중간
파트너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명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</si>
  <si>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KR"/>
        <family val="2"/>
      </rPr>
      <t xml:space="preserve">하위
파트너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명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</si>
  <si>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KR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T1</t>
    </r>
    <r>
      <rPr>
        <b val="true"/>
        <sz val="10"/>
        <color rgb="FFFFFFFF"/>
        <rFont val="Noto Sans CJK KR"/>
        <family val="2"/>
      </rPr>
      <t xml:space="preserve">판매
총건수</t>
    </r>
  </si>
  <si>
    <r>
      <rPr>
        <b val="true"/>
        <sz val="10"/>
        <color rgb="FFFFFFFF"/>
        <rFont val="Noto Sans CJK KR"/>
        <family val="2"/>
      </rPr>
      <t xml:space="preserve">월오너
수익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</si>
  <si>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Noto Sans CJK KR"/>
        <family val="2"/>
      </rPr>
      <t xml:space="preserve">월오너
수익</t>
    </r>
    <r>
      <rPr>
        <b val="true"/>
        <sz val="10"/>
        <color rgb="FFFFFFFF"/>
        <rFont val="Arial"/>
        <family val="0"/>
        <charset val="1"/>
      </rPr>
      <t xml:space="preserve">(₩)</t>
    </r>
  </si>
  <si>
    <r>
      <rPr>
        <b val="true"/>
        <sz val="10"/>
        <color rgb="FFFFFFFF"/>
        <rFont val="Noto Sans CJK KR"/>
        <family val="2"/>
      </rPr>
      <t xml:space="preserve">전체대비
비중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</si>
  <si>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Noto Sans CJK KR"/>
        <family val="2"/>
      </rPr>
      <t xml:space="preserve">파트너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KR"/>
        <family val="2"/>
      </rPr>
      <t xml:space="preserve">인당
월평균수익</t>
    </r>
    <r>
      <rPr>
        <b val="true"/>
        <sz val="10"/>
        <color rgb="FFFFFFFF"/>
        <rFont val="Arial"/>
        <family val="0"/>
        <charset val="1"/>
      </rPr>
      <t xml:space="preserve">(₩)</t>
    </r>
  </si>
  <si>
    <r>
      <rPr>
        <sz val="9"/>
        <color rgb="FFFFFFFF"/>
        <rFont val="Noto Sans CJK KR"/>
        <family val="2"/>
      </rPr>
      <t xml:space="preserve">💡 파트너 설정 가이드라인 </t>
    </r>
    <r>
      <rPr>
        <sz val="9"/>
        <color rgb="FFFFFFFF"/>
        <rFont val="Arial"/>
        <family val="0"/>
        <charset val="1"/>
      </rPr>
      <t xml:space="preserve">(Hotmart </t>
    </r>
    <r>
      <rPr>
        <sz val="9"/>
        <color rgb="FFFFFFFF"/>
        <rFont val="Noto Sans CJK KR"/>
        <family val="2"/>
      </rPr>
      <t xml:space="preserve">인지도 기반</t>
    </r>
    <r>
      <rPr>
        <sz val="9"/>
        <color rgb="FFFFFFFF"/>
        <rFont val="Arial"/>
        <family val="0"/>
        <charset val="1"/>
      </rPr>
      <t xml:space="preserve">)</t>
    </r>
  </si>
  <si>
    <t xml:space="preserve">목표</t>
  </si>
  <si>
    <t xml:space="preserve">전략 근거</t>
  </si>
  <si>
    <r>
      <rPr>
        <sz val="10"/>
        <color rgb="FF000000"/>
        <rFont val="Noto Sans CJK KR"/>
        <family val="2"/>
      </rPr>
      <t xml:space="preserve">🇧🇷 브라질 </t>
    </r>
    <r>
      <rPr>
        <sz val="10"/>
        <color rgb="FF000000"/>
        <rFont val="Arial"/>
        <family val="0"/>
        <charset val="1"/>
      </rPr>
      <t xml:space="preserve">(★★★★★)</t>
    </r>
  </si>
  <si>
    <r>
      <rPr>
        <b val="true"/>
        <sz val="10"/>
        <color rgb="FF1F4E79"/>
        <rFont val="Arial"/>
        <family val="0"/>
        <charset val="1"/>
      </rPr>
      <t xml:space="preserve">200</t>
    </r>
    <r>
      <rPr>
        <b val="true"/>
        <sz val="10"/>
        <color rgb="FF1F4E79"/>
        <rFont val="Noto Sans CJK KR"/>
        <family val="2"/>
      </rPr>
      <t xml:space="preserve">명</t>
    </r>
    <r>
      <rPr>
        <b val="true"/>
        <sz val="10"/>
        <color rgb="FF1F4E79"/>
        <rFont val="Arial"/>
        <family val="0"/>
        <charset val="1"/>
      </rPr>
      <t xml:space="preserve">+ </t>
    </r>
    <r>
      <rPr>
        <b val="true"/>
        <sz val="10"/>
        <color rgb="FF1F4E79"/>
        <rFont val="Noto Sans CJK KR"/>
        <family val="2"/>
      </rPr>
      <t xml:space="preserve">목표</t>
    </r>
  </si>
  <si>
    <r>
      <rPr>
        <sz val="9"/>
        <color rgb="FF333333"/>
        <rFont val="Arial"/>
        <family val="0"/>
        <charset val="1"/>
      </rPr>
      <t xml:space="preserve">Hotmart </t>
    </r>
    <r>
      <rPr>
        <sz val="9"/>
        <color rgb="FF333333"/>
        <rFont val="Noto Sans CJK KR"/>
        <family val="2"/>
      </rPr>
      <t xml:space="preserve">창업국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Noto Sans CJK KR"/>
        <family val="2"/>
      </rPr>
      <t xml:space="preserve">이미 수십만 파트너 생태계 구축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Noto Sans CJK KR"/>
        <family val="2"/>
      </rPr>
      <t xml:space="preserve">가장 쉽게 모집 가능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Noto Sans CJK KR"/>
        <family val="2"/>
      </rPr>
      <t xml:space="preserve">포르투갈어 콘텐츠 완성 → 즉시 런칭</t>
    </r>
    <r>
      <rPr>
        <sz val="9"/>
        <color rgb="FF333333"/>
        <rFont val="Arial"/>
        <family val="0"/>
        <charset val="1"/>
      </rPr>
      <t xml:space="preserve">.</t>
    </r>
  </si>
  <si>
    <r>
      <rPr>
        <sz val="10"/>
        <color rgb="FF000000"/>
        <rFont val="Noto Sans CJK KR"/>
        <family val="2"/>
      </rPr>
      <t xml:space="preserve">🇲🇽 멕시코 </t>
    </r>
    <r>
      <rPr>
        <sz val="10"/>
        <color rgb="FF000000"/>
        <rFont val="Arial"/>
        <family val="0"/>
        <charset val="1"/>
      </rPr>
      <t xml:space="preserve">(★★★★☆)</t>
    </r>
  </si>
  <si>
    <r>
      <rPr>
        <b val="true"/>
        <sz val="10"/>
        <color rgb="FF1F4E79"/>
        <rFont val="Arial"/>
        <family val="0"/>
        <charset val="1"/>
      </rPr>
      <t xml:space="preserve">150</t>
    </r>
    <r>
      <rPr>
        <b val="true"/>
        <sz val="10"/>
        <color rgb="FF1F4E79"/>
        <rFont val="Noto Sans CJK KR"/>
        <family val="2"/>
      </rPr>
      <t xml:space="preserve">명 목표</t>
    </r>
  </si>
  <si>
    <r>
      <rPr>
        <sz val="9"/>
        <color rgb="FF333333"/>
        <rFont val="Noto Sans CJK KR"/>
        <family val="2"/>
      </rPr>
      <t xml:space="preserve">커플</t>
    </r>
    <r>
      <rPr>
        <sz val="9"/>
        <color rgb="FF333333"/>
        <rFont val="Arial"/>
        <family val="0"/>
        <charset val="1"/>
      </rPr>
      <t xml:space="preserve">/</t>
    </r>
    <r>
      <rPr>
        <sz val="9"/>
        <color rgb="FF333333"/>
        <rFont val="Noto Sans CJK KR"/>
        <family val="2"/>
      </rPr>
      <t xml:space="preserve">연애 콘텐츠 소비 </t>
    </r>
    <r>
      <rPr>
        <sz val="9"/>
        <color rgb="FF333333"/>
        <rFont val="Arial"/>
        <family val="0"/>
        <charset val="1"/>
      </rPr>
      <t xml:space="preserve">LATAM 1</t>
    </r>
    <r>
      <rPr>
        <sz val="9"/>
        <color rgb="FF333333"/>
        <rFont val="Noto Sans CJK KR"/>
        <family val="2"/>
      </rPr>
      <t xml:space="preserve">위</t>
    </r>
    <r>
      <rPr>
        <sz val="9"/>
        <color rgb="FF333333"/>
        <rFont val="Arial"/>
        <family val="0"/>
        <charset val="1"/>
      </rPr>
      <t xml:space="preserve">. Hotmart </t>
    </r>
    <r>
      <rPr>
        <sz val="9"/>
        <color rgb="FF333333"/>
        <rFont val="Noto Sans CJK KR"/>
        <family val="2"/>
      </rPr>
      <t xml:space="preserve">공식 오피스 → 파트너 지원 인프라 탄탄</t>
    </r>
    <r>
      <rPr>
        <sz val="9"/>
        <color rgb="FF333333"/>
        <rFont val="Arial"/>
        <family val="0"/>
        <charset val="1"/>
      </rPr>
      <t xml:space="preserve">.</t>
    </r>
  </si>
  <si>
    <r>
      <rPr>
        <sz val="10"/>
        <color rgb="FF000000"/>
        <rFont val="Noto Sans CJK KR"/>
        <family val="2"/>
      </rPr>
      <t xml:space="preserve">🇺🇸 미국 히스패닉 </t>
    </r>
    <r>
      <rPr>
        <sz val="10"/>
        <color rgb="FF000000"/>
        <rFont val="Arial"/>
        <family val="0"/>
        <charset val="1"/>
      </rPr>
      <t xml:space="preserve">(★★★☆☆)</t>
    </r>
  </si>
  <si>
    <r>
      <rPr>
        <b val="true"/>
        <sz val="10"/>
        <color rgb="FF1F4E79"/>
        <rFont val="Arial"/>
        <family val="0"/>
        <charset val="1"/>
      </rPr>
      <t xml:space="preserve">100</t>
    </r>
    <r>
      <rPr>
        <b val="true"/>
        <sz val="10"/>
        <color rgb="FF1F4E79"/>
        <rFont val="Noto Sans CJK KR"/>
        <family val="2"/>
      </rPr>
      <t xml:space="preserve">명 목표</t>
    </r>
  </si>
  <si>
    <r>
      <rPr>
        <sz val="9"/>
        <color rgb="FF333333"/>
        <rFont val="Noto Sans CJK KR"/>
        <family val="2"/>
      </rPr>
      <t xml:space="preserve">소득 </t>
    </r>
    <r>
      <rPr>
        <sz val="9"/>
        <color rgb="FF333333"/>
        <rFont val="Arial"/>
        <family val="0"/>
        <charset val="1"/>
      </rPr>
      <t xml:space="preserve">$2100/</t>
    </r>
    <r>
      <rPr>
        <sz val="9"/>
        <color rgb="FF333333"/>
        <rFont val="Noto Sans CJK KR"/>
        <family val="2"/>
      </rPr>
      <t xml:space="preserve">월로 최고</t>
    </r>
    <r>
      <rPr>
        <sz val="9"/>
        <color rgb="FF333333"/>
        <rFont val="Arial"/>
        <family val="0"/>
        <charset val="1"/>
      </rPr>
      <t xml:space="preserve">. T2/T3 </t>
    </r>
    <r>
      <rPr>
        <sz val="9"/>
        <color rgb="FF333333"/>
        <rFont val="Noto Sans CJK KR"/>
        <family val="2"/>
      </rPr>
      <t xml:space="preserve">전환율 더 높을 가능성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Noto Sans CJK KR"/>
        <family val="2"/>
      </rPr>
      <t xml:space="preserve">커미션 매력 ↑</t>
    </r>
  </si>
  <si>
    <r>
      <rPr>
        <sz val="10"/>
        <color rgb="FF000000"/>
        <rFont val="Noto Sans CJK KR"/>
        <family val="2"/>
      </rPr>
      <t xml:space="preserve">🇨🇴 콜롬비아 </t>
    </r>
    <r>
      <rPr>
        <sz val="10"/>
        <color rgb="FF000000"/>
        <rFont val="Arial"/>
        <family val="0"/>
        <charset val="1"/>
      </rPr>
      <t xml:space="preserve">(★★★★☆)</t>
    </r>
  </si>
  <si>
    <r>
      <rPr>
        <b val="true"/>
        <sz val="10"/>
        <color rgb="FF1F4E79"/>
        <rFont val="Arial"/>
        <family val="0"/>
        <charset val="1"/>
      </rPr>
      <t xml:space="preserve">80</t>
    </r>
    <r>
      <rPr>
        <b val="true"/>
        <sz val="10"/>
        <color rgb="FF1F4E79"/>
        <rFont val="Noto Sans CJK KR"/>
        <family val="2"/>
      </rPr>
      <t xml:space="preserve">명 목표</t>
    </r>
  </si>
  <si>
    <r>
      <rPr>
        <sz val="9"/>
        <color rgb="FF333333"/>
        <rFont val="Arial"/>
        <family val="0"/>
        <charset val="1"/>
      </rPr>
      <t xml:space="preserve">YoY 24.2% </t>
    </r>
    <r>
      <rPr>
        <sz val="9"/>
        <color rgb="FF333333"/>
        <rFont val="Noto Sans CJK KR"/>
        <family val="2"/>
      </rPr>
      <t xml:space="preserve">고성장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Noto Sans CJK KR"/>
        <family val="2"/>
      </rPr>
      <t xml:space="preserve">오피스 보유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Noto Sans CJK KR"/>
        <family val="2"/>
      </rPr>
      <t xml:space="preserve">가성비 최고의 성장 시장</t>
    </r>
    <r>
      <rPr>
        <sz val="9"/>
        <color rgb="FF333333"/>
        <rFont val="Arial"/>
        <family val="0"/>
        <charset val="1"/>
      </rPr>
      <t xml:space="preserve">.</t>
    </r>
  </si>
  <si>
    <r>
      <rPr>
        <sz val="10"/>
        <color rgb="FF000000"/>
        <rFont val="Noto Sans CJK KR"/>
        <family val="2"/>
      </rPr>
      <t xml:space="preserve">🇦🇷 아르헨티나 </t>
    </r>
    <r>
      <rPr>
        <sz val="10"/>
        <color rgb="FF000000"/>
        <rFont val="Arial"/>
        <family val="0"/>
        <charset val="1"/>
      </rPr>
      <t xml:space="preserve">(★★★☆☆)</t>
    </r>
  </si>
  <si>
    <r>
      <rPr>
        <b val="true"/>
        <sz val="10"/>
        <color rgb="FF1F4E79"/>
        <rFont val="Arial"/>
        <family val="0"/>
        <charset val="1"/>
      </rPr>
      <t xml:space="preserve">50</t>
    </r>
    <r>
      <rPr>
        <b val="true"/>
        <sz val="10"/>
        <color rgb="FF1F4E79"/>
        <rFont val="Noto Sans CJK KR"/>
        <family val="2"/>
      </rPr>
      <t xml:space="preserve">명 목표</t>
    </r>
  </si>
  <si>
    <r>
      <rPr>
        <sz val="9"/>
        <color rgb="FF333333"/>
        <rFont val="Noto Sans CJK KR"/>
        <family val="2"/>
      </rPr>
      <t xml:space="preserve">인플레이션으로 달러 수익 선호도 극강 → 파트너 동기 높음</t>
    </r>
    <r>
      <rPr>
        <sz val="9"/>
        <color rgb="FF333333"/>
        <rFont val="Arial"/>
        <family val="0"/>
        <charset val="1"/>
      </rPr>
      <t xml:space="preserve">.</t>
    </r>
  </si>
  <si>
    <r>
      <rPr>
        <sz val="10"/>
        <color rgb="FF000000"/>
        <rFont val="Noto Sans CJK KR"/>
        <family val="2"/>
      </rPr>
      <t xml:space="preserve">🇨🇱 칠레 </t>
    </r>
    <r>
      <rPr>
        <sz val="10"/>
        <color rgb="FF000000"/>
        <rFont val="Arial"/>
        <family val="0"/>
        <charset val="1"/>
      </rPr>
      <t xml:space="preserve">(★★★☆☆)</t>
    </r>
  </si>
  <si>
    <r>
      <rPr>
        <b val="true"/>
        <sz val="10"/>
        <color rgb="FF1F4E79"/>
        <rFont val="Arial"/>
        <family val="0"/>
        <charset val="1"/>
      </rPr>
      <t xml:space="preserve">40</t>
    </r>
    <r>
      <rPr>
        <b val="true"/>
        <sz val="10"/>
        <color rgb="FF1F4E79"/>
        <rFont val="Noto Sans CJK KR"/>
        <family val="2"/>
      </rPr>
      <t xml:space="preserve">명 목표</t>
    </r>
  </si>
  <si>
    <r>
      <rPr>
        <sz val="9"/>
        <color rgb="FF333333"/>
        <rFont val="Noto Sans CJK KR"/>
        <family val="2"/>
      </rPr>
      <t xml:space="preserve">인터넷 </t>
    </r>
    <r>
      <rPr>
        <sz val="9"/>
        <color rgb="FF333333"/>
        <rFont val="Arial"/>
        <family val="0"/>
        <charset val="1"/>
      </rPr>
      <t xml:space="preserve">94% + </t>
    </r>
    <r>
      <rPr>
        <sz val="9"/>
        <color rgb="FF333333"/>
        <rFont val="Noto Sans CJK KR"/>
        <family val="2"/>
      </rPr>
      <t xml:space="preserve">소득 </t>
    </r>
    <r>
      <rPr>
        <sz val="9"/>
        <color rgb="FF333333"/>
        <rFont val="Arial"/>
        <family val="0"/>
        <charset val="1"/>
      </rPr>
      <t xml:space="preserve">1</t>
    </r>
    <r>
      <rPr>
        <sz val="9"/>
        <color rgb="FF333333"/>
        <rFont val="Noto Sans CJK KR"/>
        <family val="2"/>
      </rPr>
      <t xml:space="preserve">위 → 작지만 질적으로 우수한 파트너 가능</t>
    </r>
    <r>
      <rPr>
        <sz val="9"/>
        <color rgb="FF333333"/>
        <rFont val="Arial"/>
        <family val="0"/>
        <charset val="1"/>
      </rPr>
      <t xml:space="preserve">.</t>
    </r>
  </si>
  <si>
    <r>
      <rPr>
        <sz val="10"/>
        <color rgb="FF000000"/>
        <rFont val="Noto Sans CJK KR"/>
        <family val="2"/>
      </rPr>
      <t xml:space="preserve">🇵🇹 포르투갈 </t>
    </r>
    <r>
      <rPr>
        <sz val="10"/>
        <color rgb="FF000000"/>
        <rFont val="Arial"/>
        <family val="0"/>
        <charset val="1"/>
      </rPr>
      <t xml:space="preserve">(★★☆☆☆)</t>
    </r>
  </si>
  <si>
    <r>
      <rPr>
        <b val="true"/>
        <sz val="10"/>
        <color rgb="FF1F4E79"/>
        <rFont val="Arial"/>
        <family val="0"/>
        <charset val="1"/>
      </rPr>
      <t xml:space="preserve">30</t>
    </r>
    <r>
      <rPr>
        <b val="true"/>
        <sz val="10"/>
        <color rgb="FF1F4E79"/>
        <rFont val="Noto Sans CJK KR"/>
        <family val="2"/>
      </rPr>
      <t xml:space="preserve">명 목표</t>
    </r>
  </si>
  <si>
    <r>
      <rPr>
        <sz val="9"/>
        <color rgb="FF333333"/>
        <rFont val="Noto Sans CJK KR"/>
        <family val="2"/>
      </rPr>
      <t xml:space="preserve">유럽 포르투갈어 시장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Noto Sans CJK KR"/>
        <family val="2"/>
      </rPr>
      <t xml:space="preserve">브라질 콘텐츠 소비 문화 있음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Noto Sans CJK KR"/>
        <family val="2"/>
      </rPr>
      <t xml:space="preserve">소득 높아 </t>
    </r>
    <r>
      <rPr>
        <sz val="9"/>
        <color rgb="FF333333"/>
        <rFont val="Arial"/>
        <family val="0"/>
        <charset val="1"/>
      </rPr>
      <t xml:space="preserve">T3</t>
    </r>
    <r>
      <rPr>
        <sz val="9"/>
        <color rgb="FF333333"/>
        <rFont val="Noto Sans CJK KR"/>
        <family val="2"/>
      </rPr>
      <t xml:space="preserve">까지 전환 잘 됨</t>
    </r>
    <r>
      <rPr>
        <sz val="9"/>
        <color rgb="FF333333"/>
        <rFont val="Arial"/>
        <family val="0"/>
        <charset val="1"/>
      </rPr>
      <t xml:space="preserve">.</t>
    </r>
  </si>
  <si>
    <r>
      <rPr>
        <b val="true"/>
        <sz val="12"/>
        <color rgb="FFFFFFFF"/>
        <rFont val="Noto Sans CJK KR"/>
        <family val="2"/>
      </rPr>
      <t xml:space="preserve">📈 국가별 </t>
    </r>
    <r>
      <rPr>
        <b val="true"/>
        <sz val="12"/>
        <color rgb="FFFFFFFF"/>
        <rFont val="Arial"/>
        <family val="0"/>
        <charset val="1"/>
      </rPr>
      <t xml:space="preserve">12</t>
    </r>
    <r>
      <rPr>
        <b val="true"/>
        <sz val="12"/>
        <color rgb="FFFFFFFF"/>
        <rFont val="Noto Sans CJK KR"/>
        <family val="2"/>
      </rPr>
      <t xml:space="preserve">개월 파트너 성장 시뮬레이션 — </t>
    </r>
    <r>
      <rPr>
        <b val="true"/>
        <sz val="12"/>
        <color rgb="FFFFFFFF"/>
        <rFont val="Arial"/>
        <family val="0"/>
        <charset val="1"/>
      </rPr>
      <t xml:space="preserve">D+1</t>
    </r>
    <r>
      <rPr>
        <b val="true"/>
        <sz val="12"/>
        <color rgb="FFFFFFFF"/>
        <rFont val="Noto Sans CJK KR"/>
        <family val="2"/>
      </rPr>
      <t xml:space="preserve">개월 시작</t>
    </r>
  </si>
  <si>
    <r>
      <rPr>
        <sz val="9"/>
        <color rgb="FFFFFFFF"/>
        <rFont val="Noto Sans CJK KR"/>
        <family val="2"/>
      </rPr>
      <t xml:space="preserve">각 국가 파트너를 매월 점진적으로 추가 </t>
    </r>
    <r>
      <rPr>
        <sz val="9"/>
        <color rgb="FFFFFFFF"/>
        <rFont val="Arial"/>
        <family val="0"/>
        <charset val="1"/>
      </rPr>
      <t xml:space="preserve">| </t>
    </r>
    <r>
      <rPr>
        <sz val="9"/>
        <color rgb="FFFFFFFF"/>
        <rFont val="Noto Sans CJK KR"/>
        <family val="2"/>
      </rPr>
      <t xml:space="preserve">파레토 적용 </t>
    </r>
    <r>
      <rPr>
        <sz val="9"/>
        <color rgb="FFFFFFFF"/>
        <rFont val="Arial"/>
        <family val="0"/>
        <charset val="1"/>
      </rPr>
      <t xml:space="preserve">| </t>
    </r>
    <r>
      <rPr>
        <sz val="9"/>
        <color rgb="FFFFFFFF"/>
        <rFont val="Noto Sans CJK KR"/>
        <family val="2"/>
      </rPr>
      <t xml:space="preserve">월수익</t>
    </r>
    <r>
      <rPr>
        <sz val="9"/>
        <color rgb="FFFFFFFF"/>
        <rFont val="Arial"/>
        <family val="0"/>
        <charset val="1"/>
      </rPr>
      <t xml:space="preserve">(₩) + </t>
    </r>
    <r>
      <rPr>
        <sz val="9"/>
        <color rgb="FFFFFFFF"/>
        <rFont val="Noto Sans CJK KR"/>
        <family val="2"/>
      </rPr>
      <t xml:space="preserve">누적수익</t>
    </r>
    <r>
      <rPr>
        <sz val="9"/>
        <color rgb="FFFFFFFF"/>
        <rFont val="Arial"/>
        <family val="0"/>
        <charset val="1"/>
      </rPr>
      <t xml:space="preserve">(₩)</t>
    </r>
  </si>
  <si>
    <r>
      <rPr>
        <sz val="9"/>
        <color rgb="FFFFFFFF"/>
        <rFont val="Noto Sans CJK KR"/>
        <family val="2"/>
      </rPr>
      <t xml:space="preserve">⚙️ 가정</t>
    </r>
    <r>
      <rPr>
        <sz val="9"/>
        <color rgb="FFFFFFFF"/>
        <rFont val="Arial"/>
        <family val="0"/>
        <charset val="1"/>
      </rPr>
      <t xml:space="preserve">: </t>
    </r>
    <r>
      <rPr>
        <sz val="9"/>
        <color rgb="FFFFFFFF"/>
        <rFont val="Noto Sans CJK KR"/>
        <family val="2"/>
      </rPr>
      <t xml:space="preserve">매월 파트너 추가 → </t>
    </r>
    <r>
      <rPr>
        <sz val="9"/>
        <color rgb="FFFFFFFF"/>
        <rFont val="Arial"/>
        <family val="0"/>
        <charset val="1"/>
      </rPr>
      <t xml:space="preserve">12</t>
    </r>
    <r>
      <rPr>
        <sz val="9"/>
        <color rgb="FFFFFFFF"/>
        <rFont val="Noto Sans CJK KR"/>
        <family val="2"/>
      </rPr>
      <t xml:space="preserve">월 달성 목표 </t>
    </r>
    <r>
      <rPr>
        <sz val="9"/>
        <color rgb="FFFFFFFF"/>
        <rFont val="Arial"/>
        <family val="0"/>
        <charset val="1"/>
      </rPr>
      <t xml:space="preserve">(D+1</t>
    </r>
    <r>
      <rPr>
        <sz val="9"/>
        <color rgb="FFFFFFFF"/>
        <rFont val="Noto Sans CJK KR"/>
        <family val="2"/>
      </rPr>
      <t xml:space="preserve">개월부터 카운트</t>
    </r>
    <r>
      <rPr>
        <sz val="9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</si>
  <si>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</si>
  <si>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</si>
  <si>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</si>
  <si>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</si>
  <si>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</si>
  <si>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</si>
  <si>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</si>
  <si>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</si>
  <si>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</si>
  <si>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</si>
  <si>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Noto Sans CJK KR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</si>
  <si>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KR"/>
        <family val="2"/>
      </rPr>
      <t xml:space="preserve">월</t>
    </r>
  </si>
  <si>
    <t xml:space="preserve">연간합계</t>
  </si>
  <si>
    <r>
      <rPr>
        <b val="true"/>
        <sz val="10"/>
        <color rgb="FFFFFFFF"/>
        <rFont val="Noto Sans CJK KR"/>
        <family val="2"/>
      </rPr>
      <t xml:space="preserve">🇧🇷 브라질 — 월 </t>
    </r>
    <r>
      <rPr>
        <b val="true"/>
        <sz val="10"/>
        <color rgb="FFFFFFFF"/>
        <rFont val="Arial"/>
        <family val="0"/>
        <charset val="1"/>
      </rPr>
      <t xml:space="preserve">+17</t>
    </r>
    <r>
      <rPr>
        <b val="true"/>
        <sz val="10"/>
        <color rgb="FFFFFFFF"/>
        <rFont val="Noto Sans CJK KR"/>
        <family val="2"/>
      </rPr>
      <t xml:space="preserve">명 추가 → </t>
    </r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KR"/>
        <family val="2"/>
      </rPr>
      <t xml:space="preserve">개월 목표 </t>
    </r>
    <r>
      <rPr>
        <b val="true"/>
        <sz val="10"/>
        <color rgb="FFFFFFFF"/>
        <rFont val="Arial"/>
        <family val="0"/>
        <charset val="1"/>
      </rPr>
      <t xml:space="preserve">204</t>
    </r>
    <r>
      <rPr>
        <b val="true"/>
        <sz val="10"/>
        <color rgb="FFFFFFFF"/>
        <rFont val="Noto Sans CJK KR"/>
        <family val="2"/>
      </rPr>
      <t xml:space="preserve">명</t>
    </r>
  </si>
  <si>
    <r>
      <rPr>
        <sz val="10"/>
        <color rgb="FF000000"/>
        <rFont val="Noto Sans CJK KR"/>
        <family val="2"/>
      </rPr>
      <t xml:space="preserve">파트너 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</si>
  <si>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KR"/>
        <family val="2"/>
      </rPr>
      <t xml:space="preserve">상위 파트너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파레토 </t>
    </r>
    <r>
      <rPr>
        <sz val="10"/>
        <color rgb="FF000000"/>
        <rFont val="Arial"/>
        <family val="0"/>
        <charset val="1"/>
      </rPr>
      <t xml:space="preserve">20%)</t>
    </r>
  </si>
  <si>
    <r>
      <rPr>
        <sz val="10"/>
        <color rgb="FF000000"/>
        <rFont val="Noto Sans CJK KR"/>
        <family val="2"/>
      </rPr>
      <t xml:space="preserve">월 오너 수익 </t>
    </r>
    <r>
      <rPr>
        <sz val="10"/>
        <color rgb="FF000000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</si>
  <si>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Noto Sans CJK KR"/>
        <family val="2"/>
      </rPr>
      <t xml:space="preserve">💰 월 오너 수익 </t>
    </r>
    <r>
      <rPr>
        <b val="true"/>
        <sz val="10"/>
        <color rgb="FFFFFFFF"/>
        <rFont val="Arial"/>
        <family val="0"/>
        <charset val="1"/>
      </rPr>
      <t xml:space="preserve">(₩)</t>
    </r>
  </si>
  <si>
    <r>
      <rPr>
        <b val="true"/>
        <sz val="10"/>
        <color rgb="FFFFFFFF"/>
        <rFont val="Noto Sans CJK KR"/>
        <family val="2"/>
      </rPr>
      <t xml:space="preserve">🇲🇽 멕시코 — 월 </t>
    </r>
    <r>
      <rPr>
        <b val="true"/>
        <sz val="10"/>
        <color rgb="FFFFFFFF"/>
        <rFont val="Arial"/>
        <family val="0"/>
        <charset val="1"/>
      </rPr>
      <t xml:space="preserve">+13</t>
    </r>
    <r>
      <rPr>
        <b val="true"/>
        <sz val="10"/>
        <color rgb="FFFFFFFF"/>
        <rFont val="Noto Sans CJK KR"/>
        <family val="2"/>
      </rPr>
      <t xml:space="preserve">명 추가 → </t>
    </r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KR"/>
        <family val="2"/>
      </rPr>
      <t xml:space="preserve">개월 목표 </t>
    </r>
    <r>
      <rPr>
        <b val="true"/>
        <sz val="10"/>
        <color rgb="FFFFFFFF"/>
        <rFont val="Arial"/>
        <family val="0"/>
        <charset val="1"/>
      </rPr>
      <t xml:space="preserve">156</t>
    </r>
    <r>
      <rPr>
        <b val="true"/>
        <sz val="10"/>
        <color rgb="FFFFFFFF"/>
        <rFont val="Noto Sans CJK KR"/>
        <family val="2"/>
      </rPr>
      <t xml:space="preserve">명</t>
    </r>
  </si>
  <si>
    <r>
      <rPr>
        <b val="true"/>
        <sz val="10"/>
        <color rgb="FFFFFFFF"/>
        <rFont val="Noto Sans CJK KR"/>
        <family val="2"/>
      </rPr>
      <t xml:space="preserve">🇨🇴 콜롬비아 — 월 </t>
    </r>
    <r>
      <rPr>
        <b val="true"/>
        <sz val="10"/>
        <color rgb="FFFFFFFF"/>
        <rFont val="Arial"/>
        <family val="0"/>
        <charset val="1"/>
      </rPr>
      <t xml:space="preserve">+7</t>
    </r>
    <r>
      <rPr>
        <b val="true"/>
        <sz val="10"/>
        <color rgb="FFFFFFFF"/>
        <rFont val="Noto Sans CJK KR"/>
        <family val="2"/>
      </rPr>
      <t xml:space="preserve">명 추가 → </t>
    </r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KR"/>
        <family val="2"/>
      </rPr>
      <t xml:space="preserve">개월 목표 </t>
    </r>
    <r>
      <rPr>
        <b val="true"/>
        <sz val="10"/>
        <color rgb="FFFFFFFF"/>
        <rFont val="Arial"/>
        <family val="0"/>
        <charset val="1"/>
      </rPr>
      <t xml:space="preserve">84</t>
    </r>
    <r>
      <rPr>
        <b val="true"/>
        <sz val="10"/>
        <color rgb="FFFFFFFF"/>
        <rFont val="Noto Sans CJK KR"/>
        <family val="2"/>
      </rPr>
      <t xml:space="preserve">명</t>
    </r>
  </si>
  <si>
    <r>
      <rPr>
        <b val="true"/>
        <sz val="10"/>
        <color rgb="FFFFFFFF"/>
        <rFont val="Noto Sans CJK KR"/>
        <family val="2"/>
      </rPr>
      <t xml:space="preserve">🇺🇸 미국히스패닉 — 월 </t>
    </r>
    <r>
      <rPr>
        <b val="true"/>
        <sz val="10"/>
        <color rgb="FFFFFFFF"/>
        <rFont val="Arial"/>
        <family val="0"/>
        <charset val="1"/>
      </rPr>
      <t xml:space="preserve">+8</t>
    </r>
    <r>
      <rPr>
        <b val="true"/>
        <sz val="10"/>
        <color rgb="FFFFFFFF"/>
        <rFont val="Noto Sans CJK KR"/>
        <family val="2"/>
      </rPr>
      <t xml:space="preserve">명 추가 → </t>
    </r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KR"/>
        <family val="2"/>
      </rPr>
      <t xml:space="preserve">개월 목표 </t>
    </r>
    <r>
      <rPr>
        <b val="true"/>
        <sz val="10"/>
        <color rgb="FFFFFFFF"/>
        <rFont val="Arial"/>
        <family val="0"/>
        <charset val="1"/>
      </rPr>
      <t xml:space="preserve">96</t>
    </r>
    <r>
      <rPr>
        <b val="true"/>
        <sz val="10"/>
        <color rgb="FFFFFFFF"/>
        <rFont val="Noto Sans CJK KR"/>
        <family val="2"/>
      </rPr>
      <t xml:space="preserve">명</t>
    </r>
  </si>
  <si>
    <r>
      <rPr>
        <b val="true"/>
        <sz val="10"/>
        <color rgb="FFFFFFFF"/>
        <rFont val="Noto Sans CJK KR"/>
        <family val="2"/>
      </rPr>
      <t xml:space="preserve">🇦🇷 아르헨티나 — 월 </t>
    </r>
    <r>
      <rPr>
        <b val="true"/>
        <sz val="10"/>
        <color rgb="FFFFFFFF"/>
        <rFont val="Arial"/>
        <family val="0"/>
        <charset val="1"/>
      </rPr>
      <t xml:space="preserve">+4</t>
    </r>
    <r>
      <rPr>
        <b val="true"/>
        <sz val="10"/>
        <color rgb="FFFFFFFF"/>
        <rFont val="Noto Sans CJK KR"/>
        <family val="2"/>
      </rPr>
      <t xml:space="preserve">명 추가 → </t>
    </r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KR"/>
        <family val="2"/>
      </rPr>
      <t xml:space="preserve">개월 목표 </t>
    </r>
    <r>
      <rPr>
        <b val="true"/>
        <sz val="10"/>
        <color rgb="FFFFFFFF"/>
        <rFont val="Arial"/>
        <family val="0"/>
        <charset val="1"/>
      </rPr>
      <t xml:space="preserve">48</t>
    </r>
    <r>
      <rPr>
        <b val="true"/>
        <sz val="10"/>
        <color rgb="FFFFFFFF"/>
        <rFont val="Noto Sans CJK KR"/>
        <family val="2"/>
      </rPr>
      <t xml:space="preserve">명</t>
    </r>
  </si>
  <si>
    <r>
      <rPr>
        <b val="true"/>
        <sz val="10"/>
        <color rgb="FFFFFFFF"/>
        <rFont val="Noto Sans CJK KR"/>
        <family val="2"/>
      </rPr>
      <t xml:space="preserve">🇨🇱 칠레 — 월 </t>
    </r>
    <r>
      <rPr>
        <b val="true"/>
        <sz val="10"/>
        <color rgb="FFFFFFFF"/>
        <rFont val="Arial"/>
        <family val="0"/>
        <charset val="1"/>
      </rPr>
      <t xml:space="preserve">+3</t>
    </r>
    <r>
      <rPr>
        <b val="true"/>
        <sz val="10"/>
        <color rgb="FFFFFFFF"/>
        <rFont val="Noto Sans CJK KR"/>
        <family val="2"/>
      </rPr>
      <t xml:space="preserve">명 추가 → </t>
    </r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KR"/>
        <family val="2"/>
      </rPr>
      <t xml:space="preserve">개월 목표 </t>
    </r>
    <r>
      <rPr>
        <b val="true"/>
        <sz val="10"/>
        <color rgb="FFFFFFFF"/>
        <rFont val="Arial"/>
        <family val="0"/>
        <charset val="1"/>
      </rPr>
      <t xml:space="preserve">36</t>
    </r>
    <r>
      <rPr>
        <b val="true"/>
        <sz val="10"/>
        <color rgb="FFFFFFFF"/>
        <rFont val="Noto Sans CJK KR"/>
        <family val="2"/>
      </rPr>
      <t xml:space="preserve">명</t>
    </r>
  </si>
  <si>
    <r>
      <rPr>
        <b val="true"/>
        <sz val="10"/>
        <color rgb="FFFFFFFF"/>
        <rFont val="Noto Sans CJK KR"/>
        <family val="2"/>
      </rPr>
      <t xml:space="preserve">🇵🇹 포르투갈 — 월 </t>
    </r>
    <r>
      <rPr>
        <b val="true"/>
        <sz val="10"/>
        <color rgb="FFFFFFFF"/>
        <rFont val="Arial"/>
        <family val="0"/>
        <charset val="1"/>
      </rPr>
      <t xml:space="preserve">+3</t>
    </r>
    <r>
      <rPr>
        <b val="true"/>
        <sz val="10"/>
        <color rgb="FFFFFFFF"/>
        <rFont val="Noto Sans CJK KR"/>
        <family val="2"/>
      </rPr>
      <t xml:space="preserve">명 추가 → </t>
    </r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KR"/>
        <family val="2"/>
      </rPr>
      <t xml:space="preserve">개월 목표 </t>
    </r>
    <r>
      <rPr>
        <b val="true"/>
        <sz val="10"/>
        <color rgb="FFFFFFFF"/>
        <rFont val="Arial"/>
        <family val="0"/>
        <charset val="1"/>
      </rPr>
      <t xml:space="preserve">36</t>
    </r>
    <r>
      <rPr>
        <b val="true"/>
        <sz val="10"/>
        <color rgb="FFFFFFFF"/>
        <rFont val="Noto Sans CJK KR"/>
        <family val="2"/>
      </rPr>
      <t xml:space="preserve">명</t>
    </r>
  </si>
  <si>
    <r>
      <rPr>
        <sz val="9"/>
        <color rgb="FFFFFFFF"/>
        <rFont val="Noto Sans CJK KR"/>
        <family val="2"/>
      </rPr>
      <t xml:space="preserve">🏆 전체 국가 합산 월 오너 수익 </t>
    </r>
    <r>
      <rPr>
        <sz val="9"/>
        <color rgb="FFFFFFFF"/>
        <rFont val="Arial"/>
        <family val="0"/>
        <charset val="1"/>
      </rPr>
      <t xml:space="preserve">(₩)</t>
    </r>
  </si>
  <si>
    <r>
      <rPr>
        <b val="true"/>
        <sz val="10"/>
        <color rgb="FFFFFFFF"/>
        <rFont val="Noto Sans CJK KR"/>
        <family val="2"/>
      </rPr>
      <t xml:space="preserve">전체 월수익 합계 </t>
    </r>
    <r>
      <rPr>
        <b val="true"/>
        <sz val="10"/>
        <color rgb="FFFFFFFF"/>
        <rFont val="Arial"/>
        <family val="0"/>
        <charset val="1"/>
      </rPr>
      <t xml:space="preserve">(₩)</t>
    </r>
  </si>
  <si>
    <r>
      <rPr>
        <b val="true"/>
        <sz val="10"/>
        <color rgb="FFFFFFFF"/>
        <rFont val="Noto Sans CJK KR"/>
        <family val="2"/>
      </rPr>
      <t xml:space="preserve">누적 수익 </t>
    </r>
    <r>
      <rPr>
        <b val="true"/>
        <sz val="10"/>
        <color rgb="FFFFFFFF"/>
        <rFont val="Arial"/>
        <family val="0"/>
        <charset val="1"/>
      </rPr>
      <t xml:space="preserve">(₩)</t>
    </r>
  </si>
  <si>
    <r>
      <rPr>
        <b val="true"/>
        <sz val="12"/>
        <color rgb="FFFFFFFF"/>
        <rFont val="Noto Sans CJK KR"/>
        <family val="2"/>
      </rPr>
      <t xml:space="preserve">🏆 최종 요약 — 국가별 </t>
    </r>
    <r>
      <rPr>
        <b val="true"/>
        <sz val="12"/>
        <color rgb="FFFFFFFF"/>
        <rFont val="Arial"/>
        <family val="0"/>
        <charset val="1"/>
      </rPr>
      <t xml:space="preserve">12</t>
    </r>
    <r>
      <rPr>
        <b val="true"/>
        <sz val="12"/>
        <color rgb="FFFFFFFF"/>
        <rFont val="Noto Sans CJK KR"/>
        <family val="2"/>
      </rPr>
      <t xml:space="preserve">개월 수익 </t>
    </r>
    <r>
      <rPr>
        <b val="true"/>
        <sz val="12"/>
        <color rgb="FFFFFFFF"/>
        <rFont val="Arial"/>
        <family val="0"/>
        <charset val="1"/>
      </rPr>
      <t xml:space="preserve">+ </t>
    </r>
    <r>
      <rPr>
        <b val="true"/>
        <sz val="12"/>
        <color rgb="FFFFFFFF"/>
        <rFont val="Noto Sans CJK KR"/>
        <family val="2"/>
      </rPr>
      <t xml:space="preserve">전략 포인트</t>
    </r>
  </si>
  <si>
    <r>
      <rPr>
        <sz val="9"/>
        <color rgb="FFFFFFFF"/>
        <rFont val="Noto Sans CJK KR"/>
        <family val="2"/>
      </rPr>
      <t xml:space="preserve">총 파트너 목표</t>
    </r>
    <r>
      <rPr>
        <sz val="9"/>
        <color rgb="FFFFFFFF"/>
        <rFont val="Arial"/>
        <family val="0"/>
        <charset val="1"/>
      </rPr>
      <t xml:space="preserve">: 660</t>
    </r>
    <r>
      <rPr>
        <sz val="9"/>
        <color rgb="FFFFFFFF"/>
        <rFont val="Noto Sans CJK KR"/>
        <family val="2"/>
      </rPr>
      <t xml:space="preserve">명 </t>
    </r>
    <r>
      <rPr>
        <sz val="9"/>
        <color rgb="FFFFFFFF"/>
        <rFont val="Arial"/>
        <family val="0"/>
        <charset val="1"/>
      </rPr>
      <t xml:space="preserve">| D+1</t>
    </r>
    <r>
      <rPr>
        <sz val="9"/>
        <color rgb="FFFFFFFF"/>
        <rFont val="Noto Sans CJK KR"/>
        <family val="2"/>
      </rPr>
      <t xml:space="preserve">개월 시작 </t>
    </r>
    <r>
      <rPr>
        <sz val="9"/>
        <color rgb="FFFFFFFF"/>
        <rFont val="Arial"/>
        <family val="0"/>
        <charset val="1"/>
      </rPr>
      <t xml:space="preserve">| </t>
    </r>
    <r>
      <rPr>
        <sz val="9"/>
        <color rgb="FFFFFFFF"/>
        <rFont val="Noto Sans CJK KR"/>
        <family val="2"/>
      </rPr>
      <t xml:space="preserve">파레토 법칙 적용</t>
    </r>
  </si>
  <si>
    <r>
      <rPr>
        <sz val="9"/>
        <color rgb="FFFFFFFF"/>
        <rFont val="Noto Sans CJK KR"/>
        <family val="2"/>
      </rPr>
      <t xml:space="preserve">📊 국가별 </t>
    </r>
    <r>
      <rPr>
        <sz val="9"/>
        <color rgb="FFFFFFFF"/>
        <rFont val="Arial"/>
        <family val="0"/>
        <charset val="1"/>
      </rPr>
      <t xml:space="preserve">12</t>
    </r>
    <r>
      <rPr>
        <sz val="9"/>
        <color rgb="FFFFFFFF"/>
        <rFont val="Noto Sans CJK KR"/>
        <family val="2"/>
      </rPr>
      <t xml:space="preserve">개월 수익 성과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</si>
  <si>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KR"/>
        <family val="2"/>
      </rPr>
      <t xml:space="preserve">개월
파트너수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</si>
  <si>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KR"/>
        <family val="2"/>
      </rPr>
      <t xml:space="preserve">개월
수익</t>
    </r>
    <r>
      <rPr>
        <b val="true"/>
        <sz val="10"/>
        <color rgb="FFFFFFFF"/>
        <rFont val="Arial"/>
        <family val="0"/>
        <charset val="1"/>
      </rPr>
      <t xml:space="preserve">(₩)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</si>
  <si>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Noto Sans CJK KR"/>
        <family val="2"/>
      </rPr>
      <t xml:space="preserve">개월
수익</t>
    </r>
    <r>
      <rPr>
        <b val="true"/>
        <sz val="10"/>
        <color rgb="FFFFFFFF"/>
        <rFont val="Arial"/>
        <family val="0"/>
        <charset val="1"/>
      </rPr>
      <t xml:space="preserve">(₩)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</si>
  <si>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Noto Sans CJK KR"/>
        <family val="2"/>
      </rPr>
      <t xml:space="preserve">개월
수익</t>
    </r>
    <r>
      <rPr>
        <b val="true"/>
        <sz val="10"/>
        <color rgb="FFFFFFFF"/>
        <rFont val="Arial"/>
        <family val="0"/>
        <charset val="1"/>
      </rPr>
      <t xml:space="preserve">(₩)</t>
    </r>
  </si>
  <si>
    <r>
      <rPr>
        <b val="true"/>
        <sz val="10"/>
        <color rgb="FFFFFFFF"/>
        <rFont val="Noto Sans CJK KR"/>
        <family val="2"/>
      </rPr>
      <t xml:space="preserve">연간누적</t>
    </r>
    <r>
      <rPr>
        <b val="true"/>
        <sz val="10"/>
        <color rgb="FFFFFFFF"/>
        <rFont val="Arial"/>
        <family val="0"/>
        <charset val="1"/>
      </rPr>
      <t xml:space="preserve">(₩)</t>
    </r>
  </si>
  <si>
    <r>
      <rPr>
        <b val="true"/>
        <sz val="10"/>
        <color rgb="FFFFFFFF"/>
        <rFont val="Noto Sans CJK KR"/>
        <family val="2"/>
      </rPr>
      <t xml:space="preserve">전체비중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</si>
  <si>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Noto Sans CJK KR"/>
        <family val="2"/>
      </rPr>
      <t xml:space="preserve">파트너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KR"/>
        <family val="2"/>
      </rPr>
      <t xml:space="preserve">인당
연간수익</t>
    </r>
    <r>
      <rPr>
        <b val="true"/>
        <sz val="10"/>
        <color rgb="FFFFFFFF"/>
        <rFont val="Arial"/>
        <family val="0"/>
        <charset val="1"/>
      </rPr>
      <t xml:space="preserve">(₩)</t>
    </r>
  </si>
  <si>
    <t xml:space="preserve">🇺🇸 미국히스패닉</t>
  </si>
  <si>
    <t xml:space="preserve">🎯 전략 요약</t>
  </si>
  <si>
    <r>
      <rPr>
        <sz val="10"/>
        <color rgb="FF1F4E79"/>
        <rFont val="Noto Sans CJK KR"/>
        <family val="2"/>
      </rPr>
      <t xml:space="preserve">🇧🇷 브라질 </t>
    </r>
    <r>
      <rPr>
        <sz val="10"/>
        <color rgb="FF1F4E79"/>
        <rFont val="Arial"/>
        <family val="0"/>
        <charset val="1"/>
      </rPr>
      <t xml:space="preserve">(200</t>
    </r>
    <r>
      <rPr>
        <sz val="10"/>
        <color rgb="FF1F4E79"/>
        <rFont val="Noto Sans CJK KR"/>
        <family val="2"/>
      </rPr>
      <t xml:space="preserve">명</t>
    </r>
    <r>
      <rPr>
        <sz val="10"/>
        <color rgb="FF1F4E79"/>
        <rFont val="Arial"/>
        <family val="0"/>
        <charset val="1"/>
      </rPr>
      <t xml:space="preserve">) + 🇲🇽 </t>
    </r>
    <r>
      <rPr>
        <sz val="10"/>
        <color rgb="FF1F4E79"/>
        <rFont val="Noto Sans CJK KR"/>
        <family val="2"/>
      </rPr>
      <t xml:space="preserve">멕시코 </t>
    </r>
    <r>
      <rPr>
        <sz val="10"/>
        <color rgb="FF1F4E79"/>
        <rFont val="Arial"/>
        <family val="0"/>
        <charset val="1"/>
      </rPr>
      <t xml:space="preserve">(156</t>
    </r>
    <r>
      <rPr>
        <sz val="10"/>
        <color rgb="FF1F4E79"/>
        <rFont val="Noto Sans CJK KR"/>
        <family val="2"/>
      </rPr>
      <t xml:space="preserve">명</t>
    </r>
    <r>
      <rPr>
        <sz val="10"/>
        <color rgb="FF1F4E79"/>
        <rFont val="Arial"/>
        <family val="0"/>
        <charset val="1"/>
      </rPr>
      <t xml:space="preserve">)</t>
    </r>
    <r>
      <rPr>
        <sz val="10"/>
        <color rgb="FF1F4E79"/>
        <rFont val="Noto Sans CJK KR"/>
        <family val="2"/>
      </rPr>
      <t xml:space="preserve">만으로 전체 수익의 약 </t>
    </r>
    <r>
      <rPr>
        <sz val="10"/>
        <color rgb="FF1F4E79"/>
        <rFont val="Arial"/>
        <family val="0"/>
        <charset val="1"/>
      </rPr>
      <t xml:space="preserve">65~70% </t>
    </r>
    <r>
      <rPr>
        <sz val="10"/>
        <color rgb="FF1F4E79"/>
        <rFont val="Noto Sans CJK KR"/>
        <family val="2"/>
      </rPr>
      <t xml:space="preserve">창출 — </t>
    </r>
    <r>
      <rPr>
        <sz val="10"/>
        <color rgb="FF1F4E79"/>
        <rFont val="Arial"/>
        <family val="0"/>
        <charset val="1"/>
      </rPr>
      <t xml:space="preserve">"</t>
    </r>
    <r>
      <rPr>
        <sz val="10"/>
        <color rgb="FF1F4E79"/>
        <rFont val="Noto Sans CJK KR"/>
        <family val="2"/>
      </rPr>
      <t xml:space="preserve">두 시장 먼저 집중</t>
    </r>
    <r>
      <rPr>
        <sz val="10"/>
        <color rgb="FF1F4E79"/>
        <rFont val="Arial"/>
        <family val="0"/>
        <charset val="1"/>
      </rPr>
      <t xml:space="preserve">" </t>
    </r>
    <r>
      <rPr>
        <sz val="10"/>
        <color rgb="FF1F4E79"/>
        <rFont val="Noto Sans CJK KR"/>
        <family val="2"/>
      </rPr>
      <t xml:space="preserve">전략이 최고 효율</t>
    </r>
    <r>
      <rPr>
        <sz val="10"/>
        <color rgb="FF1F4E79"/>
        <rFont val="Arial"/>
        <family val="0"/>
        <charset val="1"/>
      </rPr>
      <t xml:space="preserve">.
🇺🇸 미국 히스패닉 (96</t>
    </r>
    <r>
      <rPr>
        <sz val="10"/>
        <color rgb="FF1F4E79"/>
        <rFont val="Noto Sans CJK KR"/>
        <family val="2"/>
      </rPr>
      <t xml:space="preserve">명</t>
    </r>
    <r>
      <rPr>
        <sz val="10"/>
        <color rgb="FF1F4E79"/>
        <rFont val="Arial"/>
        <family val="0"/>
        <charset val="1"/>
      </rPr>
      <t xml:space="preserve">): </t>
    </r>
    <r>
      <rPr>
        <sz val="10"/>
        <color rgb="FF1F4E79"/>
        <rFont val="Noto Sans CJK KR"/>
        <family val="2"/>
      </rPr>
      <t xml:space="preserve">파트너 수 적어도 소득이 </t>
    </r>
    <r>
      <rPr>
        <sz val="10"/>
        <color rgb="FF1F4E79"/>
        <rFont val="Arial"/>
        <family val="0"/>
        <charset val="1"/>
      </rPr>
      <t xml:space="preserve">$2,100/</t>
    </r>
    <r>
      <rPr>
        <sz val="10"/>
        <color rgb="FF1F4E79"/>
        <rFont val="Noto Sans CJK KR"/>
        <family val="2"/>
      </rPr>
      <t xml:space="preserve">월로 </t>
    </r>
    <r>
      <rPr>
        <sz val="10"/>
        <color rgb="FF1F4E79"/>
        <rFont val="Arial"/>
        <family val="0"/>
        <charset val="1"/>
      </rPr>
      <t xml:space="preserve">T2/T3 </t>
    </r>
    <r>
      <rPr>
        <sz val="10"/>
        <color rgb="FF1F4E79"/>
        <rFont val="Noto Sans CJK KR"/>
        <family val="2"/>
      </rPr>
      <t xml:space="preserve">전환율이 </t>
    </r>
    <r>
      <rPr>
        <sz val="10"/>
        <color rgb="FF1F4E79"/>
        <rFont val="Arial"/>
        <family val="0"/>
        <charset val="1"/>
      </rPr>
      <t xml:space="preserve">LATAM</t>
    </r>
    <r>
      <rPr>
        <sz val="10"/>
        <color rgb="FF1F4E79"/>
        <rFont val="Noto Sans CJK KR"/>
        <family val="2"/>
      </rPr>
      <t xml:space="preserve">보다 높을 가능성 → 파트너 당 수익 </t>
    </r>
    <r>
      <rPr>
        <sz val="10"/>
        <color rgb="FF1F4E79"/>
        <rFont val="Arial"/>
        <family val="0"/>
        <charset val="1"/>
      </rPr>
      <t xml:space="preserve">1</t>
    </r>
    <r>
      <rPr>
        <sz val="10"/>
        <color rgb="FF1F4E79"/>
        <rFont val="Noto Sans CJK KR"/>
        <family val="2"/>
      </rPr>
      <t xml:space="preserve">위</t>
    </r>
    <r>
      <rPr>
        <sz val="10"/>
        <color rgb="FF1F4E79"/>
        <rFont val="Arial"/>
        <family val="0"/>
        <charset val="1"/>
      </rPr>
      <t xml:space="preserve">.
🇦🇷 아르헨티나: </t>
    </r>
    <r>
      <rPr>
        <sz val="10"/>
        <color rgb="FF1F4E79"/>
        <rFont val="Noto Sans CJK KR"/>
        <family val="2"/>
      </rPr>
      <t xml:space="preserve">인플레이션으로 달러 수익 선호도 극강 → 커미션</t>
    </r>
    <r>
      <rPr>
        <sz val="10"/>
        <color rgb="FF1F4E79"/>
        <rFont val="Arial"/>
        <family val="0"/>
        <charset val="1"/>
      </rPr>
      <t xml:space="preserve">(</t>
    </r>
    <r>
      <rPr>
        <sz val="10"/>
        <color rgb="FF1F4E79"/>
        <rFont val="Noto Sans CJK KR"/>
        <family val="2"/>
      </rPr>
      <t xml:space="preserve">달러</t>
    </r>
    <r>
      <rPr>
        <sz val="10"/>
        <color rgb="FF1F4E79"/>
        <rFont val="Arial"/>
        <family val="0"/>
        <charset val="1"/>
      </rPr>
      <t xml:space="preserve">) </t>
    </r>
    <r>
      <rPr>
        <sz val="10"/>
        <color rgb="FF1F4E79"/>
        <rFont val="Noto Sans CJK KR"/>
        <family val="2"/>
      </rPr>
      <t xml:space="preserve">매력이 가장 큰 시장</t>
    </r>
    <r>
      <rPr>
        <sz val="10"/>
        <color rgb="FF1F4E79"/>
        <rFont val="Arial"/>
        <family val="0"/>
        <charset val="1"/>
      </rPr>
      <t xml:space="preserve">. </t>
    </r>
    <r>
      <rPr>
        <sz val="10"/>
        <color rgb="FF1F4E79"/>
        <rFont val="Noto Sans CJK KR"/>
        <family val="2"/>
      </rPr>
      <t xml:space="preserve">파트너 모집 경쟁력 높음</t>
    </r>
    <r>
      <rPr>
        <sz val="10"/>
        <color rgb="FF1F4E79"/>
        <rFont val="Arial"/>
        <family val="0"/>
        <charset val="1"/>
      </rPr>
      <t xml:space="preserve">.
</t>
    </r>
    <r>
      <rPr>
        <sz val="10"/>
        <color rgb="FF1F4E79"/>
        <rFont val="Noto Sans CJK KR"/>
        <family val="2"/>
      </rPr>
      <t xml:space="preserve">총 </t>
    </r>
    <r>
      <rPr>
        <sz val="10"/>
        <color rgb="FF1F4E79"/>
        <rFont val="Arial"/>
        <family val="0"/>
        <charset val="1"/>
      </rPr>
      <t xml:space="preserve">12</t>
    </r>
    <r>
      <rPr>
        <sz val="10"/>
        <color rgb="FF1F4E79"/>
        <rFont val="Noto Sans CJK KR"/>
        <family val="2"/>
      </rPr>
      <t xml:space="preserve">개월 목표</t>
    </r>
    <r>
      <rPr>
        <sz val="10"/>
        <color rgb="FF1F4E79"/>
        <rFont val="Arial"/>
        <family val="0"/>
        <charset val="1"/>
      </rPr>
      <t xml:space="preserve">: 650</t>
    </r>
    <r>
      <rPr>
        <sz val="10"/>
        <color rgb="FF1F4E79"/>
        <rFont val="Noto Sans CJK KR"/>
        <family val="2"/>
      </rPr>
      <t xml:space="preserve">명</t>
    </r>
    <r>
      <rPr>
        <sz val="10"/>
        <color rgb="FF1F4E79"/>
        <rFont val="Arial"/>
        <family val="0"/>
        <charset val="1"/>
      </rPr>
      <t xml:space="preserve">+ </t>
    </r>
    <r>
      <rPr>
        <sz val="10"/>
        <color rgb="FF1F4E79"/>
        <rFont val="Noto Sans CJK KR"/>
        <family val="2"/>
      </rPr>
      <t xml:space="preserve">파트너 </t>
    </r>
    <r>
      <rPr>
        <sz val="10"/>
        <color rgb="FF1F4E79"/>
        <rFont val="Arial"/>
        <family val="0"/>
        <charset val="1"/>
      </rPr>
      <t xml:space="preserve">| </t>
    </r>
    <r>
      <rPr>
        <sz val="10"/>
        <color rgb="FF1F4E79"/>
        <rFont val="Noto Sans CJK KR"/>
        <family val="2"/>
      </rPr>
      <t xml:space="preserve">브라질</t>
    </r>
    <r>
      <rPr>
        <sz val="10"/>
        <color rgb="FF1F4E79"/>
        <rFont val="Arial"/>
        <family val="0"/>
        <charset val="1"/>
      </rPr>
      <t xml:space="preserve">+</t>
    </r>
    <r>
      <rPr>
        <sz val="10"/>
        <color rgb="FF1F4E79"/>
        <rFont val="Noto Sans CJK KR"/>
        <family val="2"/>
      </rPr>
      <t xml:space="preserve">멕시코 </t>
    </r>
    <r>
      <rPr>
        <sz val="10"/>
        <color rgb="FF1F4E79"/>
        <rFont val="Arial"/>
        <family val="0"/>
        <charset val="1"/>
      </rPr>
      <t xml:space="preserve">Hotmart </t>
    </r>
    <r>
      <rPr>
        <sz val="10"/>
        <color rgb="FF1F4E79"/>
        <rFont val="Noto Sans CJK KR"/>
        <family val="2"/>
      </rPr>
      <t xml:space="preserve">오피스 활용 → 현지 파트너 이벤트 참가 추천</t>
    </r>
    <r>
      <rPr>
        <sz val="10"/>
        <color rgb="FF1F4E79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</si>
</sst>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&quot;M$&quot;"/>
    <numFmt numFmtId="166" formatCode="\$#,##0"/>
    <numFmt numFmtId="167" formatCode="0%"/>
    <numFmt numFmtId="168" formatCode="0.0\점"/>
    <numFmt numFmtId="169" formatCode="#,##0\명"/>
    <numFmt numFmtId="170" formatCode="\$#,##0.00"/>
    <numFmt numFmtId="171" formatCode="#,##0\원"/>
    <numFmt numFmtId="172" formatCode="#,##0"/>
    <numFmt numFmtId="173" formatCode="#,##0\건"/>
    <numFmt numFmtId="174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Noto Sans CJK KR"/>
      <family val="2"/>
    </font>
    <font>
      <sz val="9"/>
      <color rgb="FFFFFFFF"/>
      <name val="Arial"/>
      <family val="0"/>
      <charset val="1"/>
    </font>
    <font>
      <sz val="9"/>
      <color rgb="FFFFFFFF"/>
      <name val="Noto Sans CJK KR"/>
      <family val="2"/>
    </font>
    <font>
      <b val="true"/>
      <sz val="10"/>
      <color rgb="FFFFFFFF"/>
      <name val="Noto Sans CJK KR"/>
      <family val="2"/>
    </font>
    <font>
      <b val="true"/>
      <sz val="10"/>
      <color rgb="FFFFFFFF"/>
      <name val="Arial"/>
      <family val="0"/>
      <charset val="1"/>
    </font>
    <font>
      <sz val="10"/>
      <color rgb="FF000000"/>
      <name val="Noto Sans CJK KR"/>
      <family val="2"/>
    </font>
    <font>
      <b val="true"/>
      <sz val="11"/>
      <color rgb="FFFF6B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6600"/>
      <name val="Noto Sans CJK KR"/>
      <family val="2"/>
    </font>
    <font>
      <sz val="10"/>
      <color rgb="FF000000"/>
      <name val="Arial"/>
      <family val="0"/>
      <charset val="1"/>
    </font>
    <font>
      <sz val="9"/>
      <color rgb="FF555555"/>
      <name val="Noto Sans CJK KR"/>
      <family val="2"/>
    </font>
    <font>
      <sz val="9"/>
      <color rgb="FF555555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1F4E79"/>
      <name val="Noto Sans CJK KR"/>
      <family val="2"/>
    </font>
    <font>
      <sz val="9"/>
      <color rgb="FF333333"/>
      <name val="Arial"/>
      <family val="0"/>
      <charset val="1"/>
    </font>
    <font>
      <sz val="9"/>
      <color rgb="FF333333"/>
      <name val="Noto Sans CJK KR"/>
      <family val="2"/>
    </font>
    <font>
      <sz val="10"/>
      <color rgb="FF1F4E79"/>
      <name val="Noto Sans CJK KR"/>
      <family val="2"/>
    </font>
    <font>
      <sz val="10"/>
      <color rgb="FF1F4E79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3C3B6E"/>
      </patternFill>
    </fill>
    <fill>
      <patternFill patternType="solid">
        <fgColor rgb="FF2E75B6"/>
        <bgColor rgb="FF0066CC"/>
      </patternFill>
    </fill>
    <fill>
      <patternFill patternType="solid">
        <fgColor rgb="FF009C3B"/>
        <bgColor rgb="FF339966"/>
      </patternFill>
    </fill>
    <fill>
      <patternFill patternType="solid">
        <fgColor rgb="FFE8F5E9"/>
        <bgColor rgb="FFEBF3FB"/>
      </patternFill>
    </fill>
    <fill>
      <patternFill patternType="solid">
        <fgColor rgb="FFEBF3FB"/>
        <bgColor rgb="FFF0F4FF"/>
      </patternFill>
    </fill>
    <fill>
      <patternFill patternType="solid">
        <fgColor rgb="FFF8F8F8"/>
        <bgColor rgb="FFF0F4FF"/>
      </patternFill>
    </fill>
    <fill>
      <patternFill patternType="solid">
        <fgColor rgb="FF006847"/>
        <bgColor rgb="FF006600"/>
      </patternFill>
    </fill>
    <fill>
      <patternFill patternType="solid">
        <fgColor rgb="FFFCD116"/>
        <bgColor rgb="FFFFFF00"/>
      </patternFill>
    </fill>
    <fill>
      <patternFill patternType="solid">
        <fgColor rgb="FFFFFDE7"/>
        <bgColor rgb="FFF8F8F8"/>
      </patternFill>
    </fill>
    <fill>
      <patternFill patternType="solid">
        <fgColor rgb="FF3C3B6E"/>
        <bgColor rgb="FF404040"/>
      </patternFill>
    </fill>
    <fill>
      <patternFill patternType="solid">
        <fgColor rgb="FFEDE7F6"/>
        <bgColor rgb="FFDEEAF1"/>
      </patternFill>
    </fill>
    <fill>
      <patternFill patternType="solid">
        <fgColor rgb="FF74ACDF"/>
        <bgColor rgb="FF999999"/>
      </patternFill>
    </fill>
    <fill>
      <patternFill patternType="solid">
        <fgColor rgb="FFE3F2FD"/>
        <bgColor rgb="FFEBF3FB"/>
      </patternFill>
    </fill>
    <fill>
      <patternFill patternType="solid">
        <fgColor rgb="FFD52B1E"/>
        <bgColor rgb="FF993366"/>
      </patternFill>
    </fill>
    <fill>
      <patternFill patternType="solid">
        <fgColor rgb="FFFFEBEE"/>
        <bgColor rgb="FFEDE7F6"/>
      </patternFill>
    </fill>
    <fill>
      <patternFill patternType="solid">
        <fgColor rgb="FF006600"/>
        <bgColor rgb="FF006847"/>
      </patternFill>
    </fill>
    <fill>
      <patternFill patternType="solid">
        <fgColor rgb="FFF0F4FF"/>
        <bgColor rgb="FFEBF3FB"/>
      </patternFill>
    </fill>
    <fill>
      <patternFill patternType="solid">
        <fgColor rgb="FFFFFFFF"/>
        <bgColor rgb="FFF8F8F8"/>
      </patternFill>
    </fill>
    <fill>
      <patternFill patternType="solid">
        <fgColor rgb="FF404040"/>
        <bgColor rgb="FF333333"/>
      </patternFill>
    </fill>
    <fill>
      <patternFill patternType="solid">
        <fgColor rgb="FFDEEAF1"/>
        <bgColor rgb="FFE3F2F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4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4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6847"/>
      <rgbColor rgb="FFCCCCCC"/>
      <rgbColor rgb="FF808080"/>
      <rgbColor rgb="FF74ACDF"/>
      <rgbColor rgb="FF993366"/>
      <rgbColor rgb="FFFFFDE7"/>
      <rgbColor rgb="FFE3F2FD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9C3B"/>
      <rgbColor rgb="FF0000FF"/>
      <rgbColor rgb="FF00CCFF"/>
      <rgbColor rgb="FFE8F5E9"/>
      <rgbColor rgb="FFDEEAF1"/>
      <rgbColor rgb="FFFFEBEE"/>
      <rgbColor rgb="FFF0F4FF"/>
      <rgbColor rgb="FFF8F8F8"/>
      <rgbColor rgb="FFCC99FF"/>
      <rgbColor rgb="FFEBF3FB"/>
      <rgbColor rgb="FF2E75B6"/>
      <rgbColor rgb="FF33CCCC"/>
      <rgbColor rgb="FF99CC00"/>
      <rgbColor rgb="FFFCD116"/>
      <rgbColor rgb="FFFF9900"/>
      <rgbColor rgb="FFFF6B00"/>
      <rgbColor rgb="FF555555"/>
      <rgbColor rgb="FF999999"/>
      <rgbColor rgb="FF1F4E79"/>
      <rgbColor rgb="FF339966"/>
      <rgbColor rgb="FF003300"/>
      <rgbColor rgb="FF404040"/>
      <rgbColor rgb="FFD52B1E"/>
      <rgbColor rgb="FF993366"/>
      <rgbColor rgb="FF3C3B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16"/>
    <col collapsed="false" customWidth="true" hidden="false" outlineLevel="0" max="12" min="11" style="0" width="18"/>
    <col collapsed="false" customWidth="true" hidden="false" outlineLevel="0" max="13" min="13" style="0" width="42"/>
  </cols>
  <sheetData>
    <row r="1" customFormat="false" ht="31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6" hidden="false" customHeight="true" outlineLevel="0" collapsed="false"/>
    <row r="4" customFormat="false" ht="29.85" hidden="false" customHeight="false" outlineLevel="0" collapsed="false">
      <c r="B4" s="3" t="s">
        <v>2</v>
      </c>
      <c r="C4" s="3" t="s">
        <v>3</v>
      </c>
      <c r="D4" s="4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  <c r="J4" s="3" t="s">
        <v>10</v>
      </c>
      <c r="K4" s="3" t="s">
        <v>11</v>
      </c>
      <c r="L4" s="3" t="s">
        <v>12</v>
      </c>
    </row>
    <row r="5" customFormat="false" ht="24" hidden="false" customHeight="true" outlineLevel="0" collapsed="false">
      <c r="B5" s="5" t="s">
        <v>13</v>
      </c>
      <c r="C5" s="6" t="s">
        <v>14</v>
      </c>
      <c r="D5" s="7" t="s">
        <v>15</v>
      </c>
      <c r="E5" s="8" t="n">
        <v>7400</v>
      </c>
      <c r="F5" s="9" t="n">
        <v>449</v>
      </c>
      <c r="G5" s="10" t="n">
        <v>0.85</v>
      </c>
      <c r="H5" s="10" t="n">
        <v>0.84</v>
      </c>
      <c r="I5" s="11" t="s">
        <v>16</v>
      </c>
      <c r="J5" s="12" t="n">
        <f aca="false">(5/5)*35+MIN(E5/7400,1)*25+(F5/2100)*20+G5*10+H5*10</f>
        <v>81.1761904761905</v>
      </c>
      <c r="K5" s="13" t="n">
        <f aca="false">ROUND(MAX(20,MIN(200,J5*2)),0)</f>
        <v>162</v>
      </c>
      <c r="L5" s="13" t="n">
        <f aca="false">ROUND(MAX(50,MIN(500,J5*5)),0)</f>
        <v>406</v>
      </c>
      <c r="M5" s="14" t="s">
        <v>17</v>
      </c>
    </row>
    <row r="6" customFormat="false" ht="24" hidden="false" customHeight="true" outlineLevel="0" collapsed="false">
      <c r="B6" s="15" t="s">
        <v>18</v>
      </c>
      <c r="C6" s="6" t="s">
        <v>19</v>
      </c>
      <c r="D6" s="7" t="s">
        <v>20</v>
      </c>
      <c r="E6" s="8" t="n">
        <v>3200</v>
      </c>
      <c r="F6" s="9" t="n">
        <v>525</v>
      </c>
      <c r="G6" s="10" t="n">
        <v>0.85</v>
      </c>
      <c r="H6" s="10" t="n">
        <v>0.53</v>
      </c>
      <c r="I6" s="11" t="s">
        <v>16</v>
      </c>
      <c r="J6" s="12" t="n">
        <f aca="false">(4/5)*35+MIN(E6/7400,1)*25+(F6/2100)*20+G6*10+H6*10</f>
        <v>57.6108108108108</v>
      </c>
      <c r="K6" s="13" t="n">
        <f aca="false">ROUND(MAX(20,MIN(200,J6*2)),0)</f>
        <v>115</v>
      </c>
      <c r="L6" s="13" t="n">
        <f aca="false">ROUND(MAX(50,MIN(500,J6*5)),0)</f>
        <v>288</v>
      </c>
      <c r="M6" s="16" t="s">
        <v>21</v>
      </c>
    </row>
    <row r="7" customFormat="false" ht="24" hidden="false" customHeight="true" outlineLevel="0" collapsed="false">
      <c r="B7" s="17" t="s">
        <v>22</v>
      </c>
      <c r="C7" s="18" t="s">
        <v>19</v>
      </c>
      <c r="D7" s="19" t="s">
        <v>20</v>
      </c>
      <c r="E7" s="8" t="n">
        <v>450</v>
      </c>
      <c r="F7" s="9" t="n">
        <v>480</v>
      </c>
      <c r="G7" s="10" t="n">
        <v>0.82</v>
      </c>
      <c r="H7" s="10" t="n">
        <v>0.4</v>
      </c>
      <c r="I7" s="20" t="s">
        <v>16</v>
      </c>
      <c r="J7" s="21" t="n">
        <f aca="false">(4/5)*35+MIN(E7/7400,1)*25+(F7/2100)*20+G7*10+H7*10</f>
        <v>46.2916988416988</v>
      </c>
      <c r="K7" s="22" t="n">
        <f aca="false">ROUND(MAX(20,MIN(200,J7*2)),0)</f>
        <v>93</v>
      </c>
      <c r="L7" s="22" t="n">
        <f aca="false">ROUND(MAX(50,MIN(500,J7*5)),0)</f>
        <v>231</v>
      </c>
      <c r="M7" s="16" t="s">
        <v>23</v>
      </c>
    </row>
    <row r="8" customFormat="false" ht="24" hidden="false" customHeight="true" outlineLevel="0" collapsed="false">
      <c r="B8" s="23" t="s">
        <v>24</v>
      </c>
      <c r="C8" s="24" t="s">
        <v>19</v>
      </c>
      <c r="D8" s="25" t="s">
        <v>25</v>
      </c>
      <c r="E8" s="8" t="n">
        <v>2400</v>
      </c>
      <c r="F8" s="9" t="n">
        <v>2100</v>
      </c>
      <c r="G8" s="10" t="n">
        <v>0.95</v>
      </c>
      <c r="H8" s="10" t="n">
        <v>0.72</v>
      </c>
      <c r="I8" s="26" t="s">
        <v>16</v>
      </c>
      <c r="J8" s="27" t="n">
        <f aca="false">(3/5)*35+MIN(E8/7400,1)*25+(F8/2100)*20+G8*10+H8*10</f>
        <v>65.8081081081081</v>
      </c>
      <c r="K8" s="28" t="n">
        <f aca="false">ROUND(MAX(20,MIN(200,J8*2)),0)</f>
        <v>132</v>
      </c>
      <c r="L8" s="28" t="n">
        <f aca="false">ROUND(MAX(50,MIN(500,J8*5)),0)</f>
        <v>329</v>
      </c>
      <c r="M8" s="16" t="s">
        <v>26</v>
      </c>
    </row>
    <row r="9" customFormat="false" ht="24" hidden="false" customHeight="true" outlineLevel="0" collapsed="false">
      <c r="B9" s="29" t="s">
        <v>27</v>
      </c>
      <c r="C9" s="30" t="s">
        <v>19</v>
      </c>
      <c r="D9" s="31" t="s">
        <v>25</v>
      </c>
      <c r="E9" s="8" t="n">
        <v>198</v>
      </c>
      <c r="F9" s="9" t="n">
        <v>570</v>
      </c>
      <c r="G9" s="10" t="n">
        <v>0.9</v>
      </c>
      <c r="H9" s="10" t="n">
        <v>0.45</v>
      </c>
      <c r="I9" s="32" t="s">
        <v>28</v>
      </c>
      <c r="J9" s="33" t="n">
        <f aca="false">(3/5)*35+MIN(E9/7400,1)*25+(F9/2100)*20+G9*10+H9*10</f>
        <v>40.5974903474904</v>
      </c>
      <c r="K9" s="34" t="n">
        <f aca="false">ROUND(MAX(20,MIN(200,J9*2)),0)</f>
        <v>81</v>
      </c>
      <c r="L9" s="34" t="n">
        <f aca="false">ROUND(MAX(50,MIN(500,J9*5)),0)</f>
        <v>203</v>
      </c>
      <c r="M9" s="14" t="s">
        <v>29</v>
      </c>
    </row>
    <row r="10" customFormat="false" ht="24" hidden="false" customHeight="true" outlineLevel="0" collapsed="false">
      <c r="B10" s="35" t="s">
        <v>30</v>
      </c>
      <c r="C10" s="36" t="s">
        <v>19</v>
      </c>
      <c r="D10" s="37" t="s">
        <v>25</v>
      </c>
      <c r="E10" s="8" t="n">
        <v>85</v>
      </c>
      <c r="F10" s="9" t="n">
        <v>691</v>
      </c>
      <c r="G10" s="10" t="n">
        <v>0.94</v>
      </c>
      <c r="H10" s="10" t="n">
        <v>0.55</v>
      </c>
      <c r="I10" s="38" t="s">
        <v>28</v>
      </c>
      <c r="J10" s="39" t="n">
        <f aca="false">(3/5)*35+MIN(E10/7400,1)*25+(F10/2100)*20+G10*10+H10*10</f>
        <v>42.7681145431145</v>
      </c>
      <c r="K10" s="40" t="n">
        <f aca="false">ROUND(MAX(20,MIN(200,J10*2)),0)</f>
        <v>86</v>
      </c>
      <c r="L10" s="40" t="n">
        <f aca="false">ROUND(MAX(50,MIN(500,J10*5)),0)</f>
        <v>214</v>
      </c>
      <c r="M10" s="14" t="s">
        <v>31</v>
      </c>
    </row>
    <row r="11" customFormat="false" ht="24" hidden="false" customHeight="true" outlineLevel="0" collapsed="false">
      <c r="B11" s="41" t="s">
        <v>32</v>
      </c>
      <c r="C11" s="6" t="s">
        <v>14</v>
      </c>
      <c r="D11" s="7" t="s">
        <v>33</v>
      </c>
      <c r="E11" s="8" t="n">
        <v>61</v>
      </c>
      <c r="F11" s="9" t="n">
        <v>1200</v>
      </c>
      <c r="G11" s="10" t="n">
        <v>0.92</v>
      </c>
      <c r="H11" s="10" t="n">
        <v>0.65</v>
      </c>
      <c r="I11" s="42" t="s">
        <v>28</v>
      </c>
      <c r="J11" s="12" t="n">
        <f aca="false">(2/5)*35+MIN(E11/7400,1)*25+(F11/2100)*20+G11*10+H11*10</f>
        <v>41.3346525096525</v>
      </c>
      <c r="K11" s="13" t="n">
        <f aca="false">ROUND(MAX(20,MIN(200,J11*2)),0)</f>
        <v>83</v>
      </c>
      <c r="L11" s="13" t="n">
        <f aca="false">ROUND(MAX(50,MIN(500,J11*5)),0)</f>
        <v>207</v>
      </c>
      <c r="M11" s="14" t="s">
        <v>34</v>
      </c>
    </row>
    <row r="12" customFormat="false" ht="15" hidden="false" customHeight="false" outlineLevel="0" collapsed="false">
      <c r="B12" s="43" t="s">
        <v>35</v>
      </c>
      <c r="C12" s="44"/>
      <c r="D12" s="44"/>
      <c r="E12" s="44"/>
      <c r="F12" s="44"/>
      <c r="G12" s="44"/>
      <c r="H12" s="44"/>
      <c r="I12" s="44"/>
      <c r="J12" s="44"/>
      <c r="K12" s="45" t="n">
        <f aca="false">SUM(K5:K11)</f>
        <v>752</v>
      </c>
      <c r="L12" s="45" t="n">
        <f aca="false">SUM(L5:L11)</f>
        <v>1878</v>
      </c>
    </row>
    <row r="13" customFormat="false" ht="6" hidden="false" customHeight="true" outlineLevel="0" collapsed="false"/>
    <row r="14" customFormat="false" ht="18" hidden="false" customHeight="true" outlineLevel="0" collapsed="false">
      <c r="B14" s="2" t="s">
        <v>36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true" outlineLevel="0" collapsed="false">
      <c r="B15" s="3" t="s">
        <v>37</v>
      </c>
      <c r="C15" s="3" t="s">
        <v>38</v>
      </c>
      <c r="D15" s="46" t="s">
        <v>39</v>
      </c>
      <c r="E15" s="46"/>
      <c r="F15" s="46"/>
    </row>
    <row r="16" customFormat="false" ht="15" hidden="false" customHeight="true" outlineLevel="0" collapsed="false">
      <c r="B16" s="47" t="s">
        <v>40</v>
      </c>
      <c r="C16" s="48" t="s">
        <v>41</v>
      </c>
      <c r="D16" s="49" t="s">
        <v>42</v>
      </c>
      <c r="E16" s="49"/>
      <c r="F16" s="49"/>
    </row>
    <row r="17" customFormat="false" ht="15" hidden="false" customHeight="true" outlineLevel="0" collapsed="false">
      <c r="B17" s="50" t="s">
        <v>43</v>
      </c>
      <c r="C17" s="51" t="s">
        <v>44</v>
      </c>
      <c r="D17" s="52" t="s">
        <v>45</v>
      </c>
      <c r="E17" s="52"/>
      <c r="F17" s="52"/>
    </row>
    <row r="18" customFormat="false" ht="15" hidden="false" customHeight="true" outlineLevel="0" collapsed="false">
      <c r="B18" s="47" t="s">
        <v>46</v>
      </c>
      <c r="C18" s="48" t="s">
        <v>47</v>
      </c>
      <c r="D18" s="53" t="s">
        <v>48</v>
      </c>
      <c r="E18" s="53"/>
      <c r="F18" s="53"/>
    </row>
    <row r="19" customFormat="false" ht="15" hidden="false" customHeight="true" outlineLevel="0" collapsed="false">
      <c r="B19" s="50" t="s">
        <v>49</v>
      </c>
      <c r="C19" s="51" t="s">
        <v>50</v>
      </c>
      <c r="D19" s="54" t="s">
        <v>51</v>
      </c>
      <c r="E19" s="54"/>
      <c r="F19" s="54"/>
    </row>
    <row r="20" customFormat="false" ht="15" hidden="false" customHeight="true" outlineLevel="0" collapsed="false">
      <c r="B20" s="55" t="s">
        <v>52</v>
      </c>
      <c r="C20" s="48" t="s">
        <v>53</v>
      </c>
      <c r="D20" s="49" t="s">
        <v>54</v>
      </c>
      <c r="E20" s="49"/>
      <c r="F20" s="49"/>
    </row>
    <row r="21" customFormat="false" ht="15" hidden="false" customHeight="true" outlineLevel="0" collapsed="false">
      <c r="B21" s="50" t="s">
        <v>55</v>
      </c>
      <c r="C21" s="51" t="s">
        <v>56</v>
      </c>
      <c r="D21" s="52" t="s">
        <v>57</v>
      </c>
      <c r="E21" s="52"/>
      <c r="F21" s="52"/>
    </row>
    <row r="22" customFormat="false" ht="23.85" hidden="false" customHeight="true" outlineLevel="0" collapsed="false">
      <c r="B22" s="47" t="s">
        <v>58</v>
      </c>
      <c r="C22" s="48" t="s">
        <v>59</v>
      </c>
      <c r="D22" s="53" t="s">
        <v>60</v>
      </c>
      <c r="E22" s="53"/>
      <c r="F22" s="53"/>
    </row>
  </sheetData>
  <mergeCells count="11">
    <mergeCell ref="B1:O1"/>
    <mergeCell ref="B2:O2"/>
    <mergeCell ref="B14:O14"/>
    <mergeCell ref="D15:F15"/>
    <mergeCell ref="D16:F16"/>
    <mergeCell ref="D17:F17"/>
    <mergeCell ref="D18:F18"/>
    <mergeCell ref="D19:F19"/>
    <mergeCell ref="D20:F20"/>
    <mergeCell ref="D21:F21"/>
    <mergeCell ref="D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8" min="6" style="0" width="14"/>
    <col collapsed="false" customWidth="true" hidden="false" outlineLevel="0" max="11" min="9" style="0" width="16"/>
    <col collapsed="false" customWidth="true" hidden="false" outlineLevel="0" max="12" min="12" style="0" width="14"/>
    <col collapsed="false" customWidth="true" hidden="false" outlineLevel="0" max="13" min="13" style="0" width="20"/>
  </cols>
  <sheetData>
    <row r="1" customFormat="false" ht="31.5" hidden="false" customHeight="true" outlineLevel="0" collapsed="false">
      <c r="B1" s="56" t="s">
        <v>61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</row>
    <row r="2" customFormat="false" ht="18" hidden="false" customHeight="true" outlineLevel="0" collapsed="false">
      <c r="B2" s="57" t="s">
        <v>62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customFormat="false" ht="6" hidden="false" customHeight="true" outlineLevel="0" collapsed="false"/>
    <row r="4" customFormat="false" ht="18" hidden="false" customHeight="true" outlineLevel="0" collapsed="false">
      <c r="B4" s="57" t="s">
        <v>63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</row>
    <row r="5" customFormat="false" ht="15" hidden="false" customHeight="false" outlineLevel="0" collapsed="false"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</row>
    <row r="6" customFormat="false" ht="15" hidden="false" customHeight="false" outlineLevel="0" collapsed="false">
      <c r="B6" s="55" t="s">
        <v>69</v>
      </c>
      <c r="C6" s="58" t="n">
        <v>12.8</v>
      </c>
      <c r="D6" s="10" t="n">
        <v>0.7</v>
      </c>
      <c r="E6" s="59" t="n">
        <f aca="false">C6*(1-D6-0.099)</f>
        <v>2.5728</v>
      </c>
      <c r="F6" s="60" t="n">
        <f aca="false">E6*C13</f>
        <v>3601.92</v>
      </c>
    </row>
    <row r="7" customFormat="false" ht="15" hidden="false" customHeight="false" outlineLevel="0" collapsed="false">
      <c r="B7" s="55" t="s">
        <v>70</v>
      </c>
      <c r="C7" s="58" t="n">
        <v>19.9</v>
      </c>
      <c r="D7" s="10" t="n">
        <v>0.5</v>
      </c>
      <c r="E7" s="59" t="n">
        <f aca="false">C7*(1-D7-0.099)</f>
        <v>7.9799</v>
      </c>
      <c r="F7" s="60" t="n">
        <f aca="false">E7*C13</f>
        <v>11171.86</v>
      </c>
    </row>
    <row r="8" customFormat="false" ht="15" hidden="false" customHeight="false" outlineLevel="0" collapsed="false">
      <c r="B8" s="55" t="s">
        <v>71</v>
      </c>
      <c r="C8" s="58" t="n">
        <v>28.9</v>
      </c>
      <c r="D8" s="10" t="n">
        <v>0.4</v>
      </c>
      <c r="E8" s="59" t="n">
        <f aca="false">C8*(1-D8-0.099)</f>
        <v>14.4789</v>
      </c>
      <c r="F8" s="60" t="n">
        <f aca="false">E8*C13</f>
        <v>20270.46</v>
      </c>
    </row>
    <row r="9" customFormat="false" ht="18" hidden="false" customHeight="true" outlineLevel="0" collapsed="false">
      <c r="B9" s="57" t="s">
        <v>72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</row>
    <row r="10" customFormat="false" ht="15" hidden="false" customHeight="false" outlineLevel="0" collapsed="false">
      <c r="B10" s="3" t="s">
        <v>73</v>
      </c>
      <c r="C10" s="3" t="s">
        <v>74</v>
      </c>
      <c r="D10" s="3" t="s">
        <v>75</v>
      </c>
    </row>
    <row r="11" customFormat="false" ht="15" hidden="false" customHeight="false" outlineLevel="0" collapsed="false">
      <c r="B11" s="61" t="s">
        <v>76</v>
      </c>
      <c r="C11" s="10" t="n">
        <v>0.24</v>
      </c>
      <c r="D11" s="62"/>
    </row>
    <row r="12" customFormat="false" ht="15" hidden="false" customHeight="false" outlineLevel="0" collapsed="false">
      <c r="B12" s="61" t="s">
        <v>77</v>
      </c>
      <c r="C12" s="10" t="n">
        <v>0.1</v>
      </c>
      <c r="D12" s="62"/>
    </row>
    <row r="13" customFormat="false" ht="15" hidden="false" customHeight="false" outlineLevel="0" collapsed="false">
      <c r="B13" s="50" t="s">
        <v>78</v>
      </c>
      <c r="C13" s="63" t="n">
        <v>1400</v>
      </c>
      <c r="D13" s="64" t="s">
        <v>79</v>
      </c>
    </row>
    <row r="14" customFormat="false" ht="15" hidden="false" customHeight="false" outlineLevel="0" collapsed="false">
      <c r="B14" s="50" t="s">
        <v>80</v>
      </c>
      <c r="C14" s="10" t="n">
        <v>0.2</v>
      </c>
      <c r="D14" s="64"/>
    </row>
    <row r="15" customFormat="false" ht="15" hidden="false" customHeight="false" outlineLevel="0" collapsed="false">
      <c r="B15" s="50" t="s">
        <v>81</v>
      </c>
      <c r="C15" s="63" t="n">
        <v>80</v>
      </c>
      <c r="D15" s="64" t="s">
        <v>82</v>
      </c>
    </row>
    <row r="16" customFormat="false" ht="15" hidden="false" customHeight="false" outlineLevel="0" collapsed="false">
      <c r="B16" s="50" t="s">
        <v>83</v>
      </c>
      <c r="C16" s="63" t="n">
        <v>20</v>
      </c>
      <c r="D16" s="64" t="s">
        <v>82</v>
      </c>
    </row>
    <row r="17" customFormat="false" ht="15" hidden="false" customHeight="false" outlineLevel="0" collapsed="false">
      <c r="B17" s="50" t="s">
        <v>84</v>
      </c>
      <c r="C17" s="63" t="n">
        <v>3</v>
      </c>
      <c r="D17" s="64" t="s">
        <v>82</v>
      </c>
    </row>
    <row r="18" customFormat="false" ht="6" hidden="false" customHeight="true" outlineLevel="0" collapsed="false"/>
    <row r="19" customFormat="false" ht="18" hidden="false" customHeight="true" outlineLevel="0" collapsed="false">
      <c r="B19" s="57" t="s">
        <v>85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</row>
    <row r="20" customFormat="false" ht="29.85" hidden="false" customHeight="false" outlineLevel="0" collapsed="false">
      <c r="B20" s="3" t="s">
        <v>2</v>
      </c>
      <c r="C20" s="3" t="s">
        <v>3</v>
      </c>
      <c r="D20" s="4" t="s">
        <v>4</v>
      </c>
      <c r="E20" s="3" t="s">
        <v>86</v>
      </c>
      <c r="F20" s="3" t="s">
        <v>87</v>
      </c>
      <c r="G20" s="3" t="s">
        <v>88</v>
      </c>
      <c r="H20" s="3" t="s">
        <v>89</v>
      </c>
      <c r="I20" s="3" t="s">
        <v>90</v>
      </c>
      <c r="J20" s="3" t="s">
        <v>91</v>
      </c>
      <c r="K20" s="3" t="s">
        <v>92</v>
      </c>
      <c r="L20" s="3" t="s">
        <v>93</v>
      </c>
      <c r="M20" s="3" t="s">
        <v>94</v>
      </c>
    </row>
    <row r="21" customFormat="false" ht="25.5" hidden="false" customHeight="true" outlineLevel="0" collapsed="false">
      <c r="B21" s="5" t="s">
        <v>13</v>
      </c>
      <c r="C21" s="6" t="s">
        <v>14</v>
      </c>
      <c r="D21" s="7" t="s">
        <v>15</v>
      </c>
      <c r="E21" s="65" t="n">
        <v>200</v>
      </c>
      <c r="F21" s="13" t="n">
        <f aca="false">ROUND(E21*$C$14,0)</f>
        <v>40</v>
      </c>
      <c r="G21" s="13" t="n">
        <f aca="false">ROUND(E21*0.3,0)</f>
        <v>60</v>
      </c>
      <c r="H21" s="13" t="n">
        <f aca="false">E21-F21-G21</f>
        <v>100</v>
      </c>
      <c r="I21" s="66" t="n">
        <f aca="false">F21*$C$15+G21*$C$16+H21*$C$17</f>
        <v>4700</v>
      </c>
      <c r="J21" s="67" t="n">
        <f aca="false">(F21*$C$15+G21*$C$16+H21*$C$17)*$E$6+(F21*$C$15+G21*$C$16+H21*$C$17)*$C$11*$E$7+(F21*$C$15+G21*$C$16+H21*$C$17)*$C$12*$E$8</f>
        <v>27898.5702</v>
      </c>
      <c r="K21" s="68" t="n">
        <f aca="false">J21*$C$13</f>
        <v>39057998.28</v>
      </c>
      <c r="L21" s="69" t="n">
        <f aca="false">J21/J$28</f>
        <v>0.307692307692308</v>
      </c>
      <c r="M21" s="68" t="n">
        <f aca="false">IF(E21&gt;0,K21/E21,0)</f>
        <v>195289.9914</v>
      </c>
    </row>
    <row r="22" customFormat="false" ht="25.5" hidden="false" customHeight="true" outlineLevel="0" collapsed="false">
      <c r="B22" s="15" t="s">
        <v>18</v>
      </c>
      <c r="C22" s="6" t="s">
        <v>19</v>
      </c>
      <c r="D22" s="7" t="s">
        <v>20</v>
      </c>
      <c r="E22" s="65" t="n">
        <v>150</v>
      </c>
      <c r="F22" s="13" t="n">
        <f aca="false">ROUND(E22*$C$14,0)</f>
        <v>30</v>
      </c>
      <c r="G22" s="13" t="n">
        <f aca="false">ROUND(E22*0.3,0)</f>
        <v>45</v>
      </c>
      <c r="H22" s="13" t="n">
        <f aca="false">E22-F22-G22</f>
        <v>75</v>
      </c>
      <c r="I22" s="66" t="n">
        <f aca="false">F22*$C$15+G22*$C$16+H22*$C$17</f>
        <v>3525</v>
      </c>
      <c r="J22" s="67" t="n">
        <f aca="false">(F22*$C$15+G22*$C$16+H22*$C$17)*$E$6+(F22*$C$15+G22*$C$16+H22*$C$17)*$C$11*$E$7+(F22*$C$15+G22*$C$16+H22*$C$17)*$C$12*$E$8</f>
        <v>20923.92765</v>
      </c>
      <c r="K22" s="68" t="n">
        <f aca="false">J22*$C$13</f>
        <v>29293498.71</v>
      </c>
      <c r="L22" s="69" t="n">
        <f aca="false">J22/J$28</f>
        <v>0.230769230769231</v>
      </c>
      <c r="M22" s="68" t="n">
        <f aca="false">IF(E22&gt;0,K22/E22,0)</f>
        <v>195289.9914</v>
      </c>
    </row>
    <row r="23" customFormat="false" ht="25.5" hidden="false" customHeight="true" outlineLevel="0" collapsed="false">
      <c r="B23" s="17" t="s">
        <v>22</v>
      </c>
      <c r="C23" s="18" t="s">
        <v>19</v>
      </c>
      <c r="D23" s="19" t="s">
        <v>20</v>
      </c>
      <c r="E23" s="65" t="n">
        <v>80</v>
      </c>
      <c r="F23" s="22" t="n">
        <f aca="false">ROUND(E23*$C$14,0)</f>
        <v>16</v>
      </c>
      <c r="G23" s="22" t="n">
        <f aca="false">ROUND(E23*0.3,0)</f>
        <v>24</v>
      </c>
      <c r="H23" s="22" t="n">
        <f aca="false">E23-F23-G23</f>
        <v>40</v>
      </c>
      <c r="I23" s="70" t="n">
        <f aca="false">F23*$C$15+G23*$C$16+H23*$C$17</f>
        <v>1880</v>
      </c>
      <c r="J23" s="71" t="n">
        <f aca="false">(F23*$C$15+G23*$C$16+H23*$C$17)*$E$6+(F23*$C$15+G23*$C$16+H23*$C$17)*$C$11*$E$7+(F23*$C$15+G23*$C$16+H23*$C$17)*$C$12*$E$8</f>
        <v>11159.42808</v>
      </c>
      <c r="K23" s="72" t="n">
        <f aca="false">J23*$C$13</f>
        <v>15623199.312</v>
      </c>
      <c r="L23" s="73" t="n">
        <f aca="false">J23/J$28</f>
        <v>0.123076923076923</v>
      </c>
      <c r="M23" s="72" t="n">
        <f aca="false">IF(E23&gt;0,K23/E23,0)</f>
        <v>195289.9914</v>
      </c>
    </row>
    <row r="24" customFormat="false" ht="25.5" hidden="false" customHeight="true" outlineLevel="0" collapsed="false">
      <c r="B24" s="23" t="s">
        <v>24</v>
      </c>
      <c r="C24" s="24" t="s">
        <v>19</v>
      </c>
      <c r="D24" s="25" t="s">
        <v>25</v>
      </c>
      <c r="E24" s="65" t="n">
        <v>100</v>
      </c>
      <c r="F24" s="28" t="n">
        <f aca="false">ROUND(E24*$C$14,0)</f>
        <v>20</v>
      </c>
      <c r="G24" s="28" t="n">
        <f aca="false">ROUND(E24*0.3,0)</f>
        <v>30</v>
      </c>
      <c r="H24" s="28" t="n">
        <f aca="false">E24-F24-G24</f>
        <v>50</v>
      </c>
      <c r="I24" s="74" t="n">
        <f aca="false">F24*$C$15+G24*$C$16+H24*$C$17</f>
        <v>2350</v>
      </c>
      <c r="J24" s="75" t="n">
        <f aca="false">(F24*$C$15+G24*$C$16+H24*$C$17)*$E$6+(F24*$C$15+G24*$C$16+H24*$C$17)*$C$11*$E$7+(F24*$C$15+G24*$C$16+H24*$C$17)*$C$12*$E$8</f>
        <v>13949.2851</v>
      </c>
      <c r="K24" s="76" t="n">
        <f aca="false">J24*$C$13</f>
        <v>19528999.14</v>
      </c>
      <c r="L24" s="77" t="n">
        <f aca="false">J24/J$28</f>
        <v>0.153846153846154</v>
      </c>
      <c r="M24" s="76" t="n">
        <f aca="false">IF(E24&gt;0,K24/E24,0)</f>
        <v>195289.9914</v>
      </c>
    </row>
    <row r="25" customFormat="false" ht="25.5" hidden="false" customHeight="true" outlineLevel="0" collapsed="false">
      <c r="B25" s="29" t="s">
        <v>27</v>
      </c>
      <c r="C25" s="30" t="s">
        <v>19</v>
      </c>
      <c r="D25" s="31" t="s">
        <v>25</v>
      </c>
      <c r="E25" s="65" t="n">
        <v>50</v>
      </c>
      <c r="F25" s="34" t="n">
        <f aca="false">ROUND(E25*$C$14,0)</f>
        <v>10</v>
      </c>
      <c r="G25" s="34" t="n">
        <f aca="false">ROUND(E25*0.3,0)</f>
        <v>15</v>
      </c>
      <c r="H25" s="34" t="n">
        <f aca="false">E25-F25-G25</f>
        <v>25</v>
      </c>
      <c r="I25" s="78" t="n">
        <f aca="false">F25*$C$15+G25*$C$16+H25*$C$17</f>
        <v>1175</v>
      </c>
      <c r="J25" s="79" t="n">
        <f aca="false">(F25*$C$15+G25*$C$16+H25*$C$17)*$E$6+(F25*$C$15+G25*$C$16+H25*$C$17)*$C$11*$E$7+(F25*$C$15+G25*$C$16+H25*$C$17)*$C$12*$E$8</f>
        <v>6974.64255</v>
      </c>
      <c r="K25" s="80" t="n">
        <f aca="false">J25*$C$13</f>
        <v>9764499.57</v>
      </c>
      <c r="L25" s="81" t="n">
        <f aca="false">J25/J$28</f>
        <v>0.0769230769230769</v>
      </c>
      <c r="M25" s="80" t="n">
        <f aca="false">IF(E25&gt;0,K25/E25,0)</f>
        <v>195289.9914</v>
      </c>
    </row>
    <row r="26" customFormat="false" ht="25.5" hidden="false" customHeight="true" outlineLevel="0" collapsed="false">
      <c r="B26" s="35" t="s">
        <v>30</v>
      </c>
      <c r="C26" s="36" t="s">
        <v>19</v>
      </c>
      <c r="D26" s="37" t="s">
        <v>25</v>
      </c>
      <c r="E26" s="65" t="n">
        <v>40</v>
      </c>
      <c r="F26" s="40" t="n">
        <f aca="false">ROUND(E26*$C$14,0)</f>
        <v>8</v>
      </c>
      <c r="G26" s="40" t="n">
        <f aca="false">ROUND(E26*0.3,0)</f>
        <v>12</v>
      </c>
      <c r="H26" s="40" t="n">
        <f aca="false">E26-F26-G26</f>
        <v>20</v>
      </c>
      <c r="I26" s="82" t="n">
        <f aca="false">F26*$C$15+G26*$C$16+H26*$C$17</f>
        <v>940</v>
      </c>
      <c r="J26" s="83" t="n">
        <f aca="false">(F26*$C$15+G26*$C$16+H26*$C$17)*$E$6+(F26*$C$15+G26*$C$16+H26*$C$17)*$C$11*$E$7+(F26*$C$15+G26*$C$16+H26*$C$17)*$C$12*$E$8</f>
        <v>5579.71404</v>
      </c>
      <c r="K26" s="84" t="n">
        <f aca="false">J26*$C$13</f>
        <v>7811599.656</v>
      </c>
      <c r="L26" s="85" t="n">
        <f aca="false">J26/J$28</f>
        <v>0.0615384615384615</v>
      </c>
      <c r="M26" s="84" t="n">
        <f aca="false">IF(E26&gt;0,K26/E26,0)</f>
        <v>195289.9914</v>
      </c>
    </row>
    <row r="27" customFormat="false" ht="25.5" hidden="false" customHeight="true" outlineLevel="0" collapsed="false">
      <c r="B27" s="41" t="s">
        <v>32</v>
      </c>
      <c r="C27" s="6" t="s">
        <v>14</v>
      </c>
      <c r="D27" s="7" t="s">
        <v>33</v>
      </c>
      <c r="E27" s="65" t="n">
        <v>30</v>
      </c>
      <c r="F27" s="13" t="n">
        <f aca="false">ROUND(E27*$C$14,0)</f>
        <v>6</v>
      </c>
      <c r="G27" s="13" t="n">
        <f aca="false">ROUND(E27*0.3,0)</f>
        <v>9</v>
      </c>
      <c r="H27" s="13" t="n">
        <f aca="false">E27-F27-G27</f>
        <v>15</v>
      </c>
      <c r="I27" s="66" t="n">
        <f aca="false">F27*$C$15+G27*$C$16+H27*$C$17</f>
        <v>705</v>
      </c>
      <c r="J27" s="67" t="n">
        <f aca="false">(F27*$C$15+G27*$C$16+H27*$C$17)*$E$6+(F27*$C$15+G27*$C$16+H27*$C$17)*$C$11*$E$7+(F27*$C$15+G27*$C$16+H27*$C$17)*$C$12*$E$8</f>
        <v>4184.78553</v>
      </c>
      <c r="K27" s="68" t="n">
        <f aca="false">J27*$C$13</f>
        <v>5858699.742</v>
      </c>
      <c r="L27" s="69" t="n">
        <f aca="false">J27/J$28</f>
        <v>0.0461538461538462</v>
      </c>
      <c r="M27" s="68" t="n">
        <f aca="false">IF(E27&gt;0,K27/E27,0)</f>
        <v>195289.9914</v>
      </c>
    </row>
    <row r="28" customFormat="false" ht="25.5" hidden="false" customHeight="true" outlineLevel="0" collapsed="false">
      <c r="B28" s="43" t="s">
        <v>35</v>
      </c>
      <c r="C28" s="86"/>
      <c r="D28" s="86"/>
      <c r="E28" s="45" t="n">
        <f aca="false">SUM(E21:E27)</f>
        <v>650</v>
      </c>
      <c r="F28" s="45" t="n">
        <f aca="false">SUM(F21:F27)</f>
        <v>130</v>
      </c>
      <c r="G28" s="45" t="n">
        <f aca="false">SUM(G21:G27)</f>
        <v>195</v>
      </c>
      <c r="H28" s="45" t="n">
        <f aca="false">SUM(H21:H27)</f>
        <v>325</v>
      </c>
      <c r="I28" s="87" t="n">
        <f aca="false">SUM(I21:I27)</f>
        <v>15275</v>
      </c>
      <c r="J28" s="88" t="n">
        <f aca="false">SUM(J21:J27)</f>
        <v>90670.35315</v>
      </c>
      <c r="K28" s="89" t="n">
        <f aca="false">SUM(K21:K27)</f>
        <v>126938494.41</v>
      </c>
      <c r="L28" s="90" t="n">
        <f aca="false">SUM(L21:L27)</f>
        <v>1</v>
      </c>
      <c r="M28" s="89" t="n">
        <f aca="false">IF(E28&gt;0,K28/E28,0)</f>
        <v>195289.9914</v>
      </c>
    </row>
    <row r="29" customFormat="false" ht="6" hidden="false" customHeight="true" outlineLevel="0" collapsed="false"/>
    <row r="30" customFormat="false" ht="18" hidden="false" customHeight="true" outlineLevel="0" collapsed="false">
      <c r="B30" s="57" t="s">
        <v>95</v>
      </c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</row>
    <row r="31" customFormat="false" ht="15" hidden="false" customHeight="false" outlineLevel="0" collapsed="false">
      <c r="B31" s="3" t="s">
        <v>2</v>
      </c>
      <c r="C31" s="3" t="s">
        <v>96</v>
      </c>
      <c r="D31" s="3" t="s">
        <v>97</v>
      </c>
    </row>
    <row r="32" customFormat="false" ht="27.75" hidden="false" customHeight="true" outlineLevel="0" collapsed="false">
      <c r="B32" s="91" t="s">
        <v>98</v>
      </c>
      <c r="C32" s="92" t="s">
        <v>99</v>
      </c>
      <c r="D32" s="93" t="s">
        <v>100</v>
      </c>
      <c r="E32" s="93"/>
      <c r="F32" s="93"/>
      <c r="G32" s="93"/>
      <c r="H32" s="93"/>
      <c r="I32" s="93"/>
      <c r="J32" s="93"/>
      <c r="K32" s="93"/>
      <c r="L32" s="93"/>
      <c r="M32" s="93"/>
    </row>
    <row r="33" customFormat="false" ht="27.75" hidden="false" customHeight="true" outlineLevel="0" collapsed="false">
      <c r="B33" s="91" t="s">
        <v>101</v>
      </c>
      <c r="C33" s="92" t="s">
        <v>102</v>
      </c>
      <c r="D33" s="94" t="s">
        <v>103</v>
      </c>
      <c r="E33" s="94"/>
      <c r="F33" s="94"/>
      <c r="G33" s="94"/>
      <c r="H33" s="94"/>
      <c r="I33" s="94"/>
      <c r="J33" s="94"/>
      <c r="K33" s="94"/>
      <c r="L33" s="94"/>
      <c r="M33" s="94"/>
    </row>
    <row r="34" customFormat="false" ht="27.75" hidden="false" customHeight="true" outlineLevel="0" collapsed="false">
      <c r="B34" s="95" t="s">
        <v>104</v>
      </c>
      <c r="C34" s="96" t="s">
        <v>105</v>
      </c>
      <c r="D34" s="97" t="s">
        <v>106</v>
      </c>
      <c r="E34" s="97"/>
      <c r="F34" s="97"/>
      <c r="G34" s="97"/>
      <c r="H34" s="97"/>
      <c r="I34" s="97"/>
      <c r="J34" s="97"/>
      <c r="K34" s="97"/>
      <c r="L34" s="97"/>
      <c r="M34" s="97"/>
    </row>
    <row r="35" customFormat="false" ht="27.75" hidden="false" customHeight="true" outlineLevel="0" collapsed="false">
      <c r="B35" s="98" t="s">
        <v>107</v>
      </c>
      <c r="C35" s="99" t="s">
        <v>108</v>
      </c>
      <c r="D35" s="100" t="s">
        <v>109</v>
      </c>
      <c r="E35" s="100"/>
      <c r="F35" s="100"/>
      <c r="G35" s="100"/>
      <c r="H35" s="100"/>
      <c r="I35" s="100"/>
      <c r="J35" s="100"/>
      <c r="K35" s="100"/>
      <c r="L35" s="100"/>
      <c r="M35" s="100"/>
    </row>
    <row r="36" customFormat="false" ht="27.75" hidden="false" customHeight="true" outlineLevel="0" collapsed="false">
      <c r="B36" s="101" t="s">
        <v>110</v>
      </c>
      <c r="C36" s="102" t="s">
        <v>111</v>
      </c>
      <c r="D36" s="103" t="s">
        <v>112</v>
      </c>
      <c r="E36" s="103"/>
      <c r="F36" s="103"/>
      <c r="G36" s="103"/>
      <c r="H36" s="103"/>
      <c r="I36" s="103"/>
      <c r="J36" s="103"/>
      <c r="K36" s="103"/>
      <c r="L36" s="103"/>
      <c r="M36" s="103"/>
    </row>
    <row r="37" customFormat="false" ht="27.75" hidden="false" customHeight="true" outlineLevel="0" collapsed="false">
      <c r="B37" s="104" t="s">
        <v>113</v>
      </c>
      <c r="C37" s="105" t="s">
        <v>114</v>
      </c>
      <c r="D37" s="106" t="s">
        <v>115</v>
      </c>
      <c r="E37" s="106"/>
      <c r="F37" s="106"/>
      <c r="G37" s="106"/>
      <c r="H37" s="106"/>
      <c r="I37" s="106"/>
      <c r="J37" s="106"/>
      <c r="K37" s="106"/>
      <c r="L37" s="106"/>
      <c r="M37" s="106"/>
    </row>
    <row r="38" customFormat="false" ht="27.75" hidden="false" customHeight="true" outlineLevel="0" collapsed="false">
      <c r="B38" s="91" t="s">
        <v>116</v>
      </c>
      <c r="C38" s="92" t="s">
        <v>117</v>
      </c>
      <c r="D38" s="94" t="s">
        <v>118</v>
      </c>
      <c r="E38" s="94"/>
      <c r="F38" s="94"/>
      <c r="G38" s="94"/>
      <c r="H38" s="94"/>
      <c r="I38" s="94"/>
      <c r="J38" s="94"/>
      <c r="K38" s="94"/>
      <c r="L38" s="94"/>
      <c r="M38" s="94"/>
    </row>
  </sheetData>
  <mergeCells count="13">
    <mergeCell ref="B1:P1"/>
    <mergeCell ref="B2:P2"/>
    <mergeCell ref="B4:P4"/>
    <mergeCell ref="B9:P9"/>
    <mergeCell ref="B19:P19"/>
    <mergeCell ref="B30:P30"/>
    <mergeCell ref="D32:M32"/>
    <mergeCell ref="D33:M33"/>
    <mergeCell ref="D34:M34"/>
    <mergeCell ref="D35:M35"/>
    <mergeCell ref="D36:M36"/>
    <mergeCell ref="D37:M37"/>
    <mergeCell ref="D38:M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14" min="3" style="0" width="10"/>
    <col collapsed="false" customWidth="true" hidden="false" outlineLevel="0" max="15" min="15" style="0" width="14"/>
  </cols>
  <sheetData>
    <row r="1" customFormat="false" ht="31.5" hidden="false" customHeight="true" outlineLevel="0" collapsed="false">
      <c r="B1" s="56" t="s">
        <v>119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</row>
    <row r="2" customFormat="false" ht="18" hidden="false" customHeight="true" outlineLevel="0" collapsed="false">
      <c r="B2" s="57" t="s">
        <v>120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customFormat="false" ht="6" hidden="false" customHeight="true" outlineLevel="0" collapsed="false"/>
    <row r="4" customFormat="false" ht="18" hidden="false" customHeight="true" outlineLevel="0" collapsed="false">
      <c r="B4" s="57" t="s">
        <v>121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</row>
    <row r="5" customFormat="false" ht="15" hidden="false" customHeight="false" outlineLevel="0" collapsed="false">
      <c r="B5" s="3" t="s">
        <v>73</v>
      </c>
      <c r="C5" s="4" t="s">
        <v>122</v>
      </c>
      <c r="D5" s="4" t="s">
        <v>123</v>
      </c>
      <c r="E5" s="4" t="s">
        <v>124</v>
      </c>
      <c r="F5" s="4" t="s">
        <v>125</v>
      </c>
      <c r="G5" s="4" t="s">
        <v>126</v>
      </c>
      <c r="H5" s="4" t="s">
        <v>127</v>
      </c>
      <c r="I5" s="4" t="s">
        <v>128</v>
      </c>
      <c r="J5" s="4" t="s">
        <v>129</v>
      </c>
      <c r="K5" s="4" t="s">
        <v>130</v>
      </c>
      <c r="L5" s="4" t="s">
        <v>131</v>
      </c>
      <c r="M5" s="4" t="s">
        <v>132</v>
      </c>
      <c r="N5" s="4" t="s">
        <v>133</v>
      </c>
      <c r="O5" s="3" t="s">
        <v>134</v>
      </c>
    </row>
    <row r="6" customFormat="false" ht="21.75" hidden="false" customHeight="true" outlineLevel="0" collapsed="false">
      <c r="B6" s="107" t="s">
        <v>135</v>
      </c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</row>
    <row r="7" customFormat="false" ht="15" hidden="false" customHeight="false" outlineLevel="0" collapsed="false">
      <c r="B7" s="91" t="s">
        <v>136</v>
      </c>
      <c r="C7" s="63" t="n">
        <v>17</v>
      </c>
      <c r="D7" s="63" t="n">
        <v>34</v>
      </c>
      <c r="E7" s="63" t="n">
        <v>51</v>
      </c>
      <c r="F7" s="63" t="n">
        <v>68</v>
      </c>
      <c r="G7" s="63" t="n">
        <v>85</v>
      </c>
      <c r="H7" s="63" t="n">
        <v>102</v>
      </c>
      <c r="I7" s="63" t="n">
        <v>119</v>
      </c>
      <c r="J7" s="63" t="n">
        <v>136</v>
      </c>
      <c r="K7" s="63" t="n">
        <v>153</v>
      </c>
      <c r="L7" s="63" t="n">
        <v>170</v>
      </c>
      <c r="M7" s="63" t="n">
        <v>187</v>
      </c>
      <c r="N7" s="63" t="n">
        <v>204</v>
      </c>
      <c r="O7" s="45" t="n">
        <f aca="false">N7</f>
        <v>204</v>
      </c>
    </row>
    <row r="8" customFormat="false" ht="15" hidden="false" customHeight="false" outlineLevel="0" collapsed="false">
      <c r="B8" s="91" t="s">
        <v>137</v>
      </c>
      <c r="C8" s="108" t="n">
        <f aca="false">ROUND(C7*'② 국가별 파트너 설정'!$C$14,0)</f>
        <v>3</v>
      </c>
      <c r="D8" s="108" t="n">
        <f aca="false">ROUND(D7*'② 국가별 파트너 설정'!$C$14,0)</f>
        <v>7</v>
      </c>
      <c r="E8" s="108" t="n">
        <f aca="false">ROUND(E7*'② 국가별 파트너 설정'!$C$14,0)</f>
        <v>10</v>
      </c>
      <c r="F8" s="108" t="n">
        <f aca="false">ROUND(F7*'② 국가별 파트너 설정'!$C$14,0)</f>
        <v>14</v>
      </c>
      <c r="G8" s="108" t="n">
        <f aca="false">ROUND(G7*'② 국가별 파트너 설정'!$C$14,0)</f>
        <v>17</v>
      </c>
      <c r="H8" s="108" t="n">
        <f aca="false">ROUND(H7*'② 국가별 파트너 설정'!$C$14,0)</f>
        <v>20</v>
      </c>
      <c r="I8" s="108" t="n">
        <f aca="false">ROUND(I7*'② 국가별 파트너 설정'!$C$14,0)</f>
        <v>24</v>
      </c>
      <c r="J8" s="108" t="n">
        <f aca="false">ROUND(J7*'② 국가별 파트너 설정'!$C$14,0)</f>
        <v>27</v>
      </c>
      <c r="K8" s="108" t="n">
        <f aca="false">ROUND(K7*'② 국가별 파트너 설정'!$C$14,0)</f>
        <v>31</v>
      </c>
      <c r="L8" s="108" t="n">
        <f aca="false">ROUND(L7*'② 국가별 파트너 설정'!$C$14,0)</f>
        <v>34</v>
      </c>
      <c r="M8" s="108" t="n">
        <f aca="false">ROUND(M7*'② 국가별 파트너 설정'!$C$14,0)</f>
        <v>37</v>
      </c>
      <c r="N8" s="108" t="n">
        <f aca="false">ROUND(N7*'② 국가별 파트너 설정'!$C$14,0)</f>
        <v>41</v>
      </c>
      <c r="O8" s="45" t="n">
        <f aca="false">ROUND(N7*'② 국가별 파트너 설정'!$C$14,0)</f>
        <v>41</v>
      </c>
    </row>
    <row r="9" customFormat="false" ht="15" hidden="false" customHeight="false" outlineLevel="0" collapsed="false">
      <c r="B9" s="91" t="s">
        <v>138</v>
      </c>
      <c r="C9" s="67" t="n">
        <f aca="false">(C8*'② 국가별 파트너 설정'!$C$15+(C7-C8)*0.375*'② 국가별 파트너 설정'!$C$16+(C7-C8)*0.625*'② 국가별 파트너 설정'!$C$17)*('② 국가별 파트너 설정'!$E$6+'② 국가별 파트너 설정'!$C$11*'② 국가별 파트너 설정'!$E$7+'② 국가별 파트너 설정'!$C$12*'② 국가별 파트너 설정'!$E$8)</f>
        <v>2203.6902525</v>
      </c>
      <c r="D9" s="67" t="n">
        <f aca="false">(D8*'② 국가별 파트너 설정'!$C$15+(D7-D8)*0.375*'② 국가별 파트너 설정'!$C$16+(D7-D8)*0.625*'② 국가별 파트너 설정'!$C$17)*('② 국가별 파트너 설정'!$E$6+'② 국가별 파트너 설정'!$C$11*'② 국가별 파트너 설정'!$E$7+'② 국가별 파트너 설정'!$C$12*'② 국가별 파트너 설정'!$E$8)</f>
        <v>4826.60104125</v>
      </c>
      <c r="E9" s="67" t="n">
        <f aca="false">(E8*'② 국가별 파트너 설정'!$C$15+(E7-E8)*0.375*'② 국가별 파트너 설정'!$C$16+(E7-E8)*0.625*'② 국가별 파트너 설정'!$C$17)*('② 국가별 파트너 설정'!$E$6+'② 국가별 파트너 설정'!$C$11*'② 국가별 파트너 설정'!$E$7+'② 국가별 파트너 설정'!$C$12*'② 국가별 파트너 설정'!$E$8)</f>
        <v>7030.29129375</v>
      </c>
      <c r="F9" s="67" t="n">
        <f aca="false">(F8*'② 국가별 파트너 설정'!$C$15+(F7-F8)*0.375*'② 국가별 파트너 설정'!$C$16+(F7-F8)*0.625*'② 국가별 파트너 설정'!$C$17)*('② 국가별 파트너 설정'!$E$6+'② 국가별 파트너 설정'!$C$11*'② 국가별 파트너 설정'!$E$7+'② 국가별 파트너 설정'!$C$12*'② 국가별 파트너 설정'!$E$8)</f>
        <v>9653.2020825</v>
      </c>
      <c r="G9" s="67" t="n">
        <f aca="false">(G8*'② 국가별 파트너 설정'!$C$15+(G7-G8)*0.375*'② 국가별 파트너 설정'!$C$16+(G7-G8)*0.625*'② 국가별 파트너 설정'!$C$17)*('② 국가별 파트너 설정'!$E$6+'② 국가별 파트너 설정'!$C$11*'② 국가별 파트너 설정'!$E$7+'② 국가별 파트너 설정'!$C$12*'② 국가별 파트너 설정'!$E$8)</f>
        <v>11856.892335</v>
      </c>
      <c r="H9" s="67" t="n">
        <f aca="false">(H8*'② 국가별 파트너 설정'!$C$15+(H7-H8)*0.375*'② 국가별 파트너 설정'!$C$16+(H7-H8)*0.625*'② 국가별 파트너 설정'!$C$17)*('② 국가별 파트너 설정'!$E$6+'② 국가별 파트너 설정'!$C$11*'② 국가별 파트너 설정'!$E$7+'② 국가별 파트너 설정'!$C$12*'② 국가별 파트너 설정'!$E$8)</f>
        <v>14060.5825875</v>
      </c>
      <c r="I9" s="67" t="n">
        <f aca="false">(I8*'② 국가별 파트너 설정'!$C$15+(I7-I8)*0.375*'② 국가별 파트너 설정'!$C$16+(I7-I8)*0.625*'② 국가별 파트너 설정'!$C$17)*('② 국가별 파트너 설정'!$E$6+'② 국가별 파트너 설정'!$C$11*'② 국가별 파트너 설정'!$E$7+'② 국가별 파트너 설정'!$C$12*'② 국가별 파트너 설정'!$E$8)</f>
        <v>16683.49337625</v>
      </c>
      <c r="J9" s="67" t="n">
        <f aca="false">(J8*'② 국가별 파트너 설정'!$C$15+(J7-J8)*0.375*'② 국가별 파트너 설정'!$C$16+(J7-J8)*0.625*'② 국가별 파트너 설정'!$C$17)*('② 국가별 파트너 설정'!$E$6+'② 국가별 파트너 설정'!$C$11*'② 국가별 파트너 설정'!$E$7+'② 국가별 파트너 설정'!$C$12*'② 국가별 파트너 설정'!$E$8)</f>
        <v>18887.18362875</v>
      </c>
      <c r="K9" s="67" t="n">
        <f aca="false">(K8*'② 국가별 파트너 설정'!$C$15+(K7-K8)*0.375*'② 국가별 파트너 설정'!$C$16+(K7-K8)*0.625*'② 국가별 파트너 설정'!$C$17)*('② 국가별 파트너 설정'!$E$6+'② 국가별 파트너 설정'!$C$11*'② 국가별 파트너 설정'!$E$7+'② 국가별 파트너 설정'!$C$12*'② 국가별 파트너 설정'!$E$8)</f>
        <v>21510.0944175</v>
      </c>
      <c r="L9" s="67" t="n">
        <f aca="false">(L8*'② 국가별 파트너 설정'!$C$15+(L7-L8)*0.375*'② 국가별 파트너 설정'!$C$16+(L7-L8)*0.625*'② 국가별 파트너 설정'!$C$17)*('② 국가별 파트너 설정'!$E$6+'② 국가별 파트너 설정'!$C$11*'② 국가별 파트너 설정'!$E$7+'② 국가별 파트너 설정'!$C$12*'② 국가별 파트너 설정'!$E$8)</f>
        <v>23713.78467</v>
      </c>
      <c r="M9" s="67" t="n">
        <f aca="false">(M8*'② 국가별 파트너 설정'!$C$15+(M7-M8)*0.375*'② 국가별 파트너 설정'!$C$16+(M7-M8)*0.625*'② 국가별 파트너 설정'!$C$17)*('② 국가별 파트너 설정'!$E$6+'② 국가별 파트너 설정'!$C$11*'② 국가별 파트너 설정'!$E$7+'② 국가별 파트너 설정'!$C$12*'② 국가별 파트너 설정'!$E$8)</f>
        <v>25917.4749225</v>
      </c>
      <c r="N9" s="67" t="n">
        <f aca="false">(N8*'② 국가별 파트너 설정'!$C$15+(N7-N8)*0.375*'② 국가별 파트너 설정'!$C$16+(N7-N8)*0.625*'② 국가별 파트너 설정'!$C$17)*('② 국가별 파트너 설정'!$E$6+'② 국가별 파트너 설정'!$C$11*'② 국가별 파트너 설정'!$E$7+'② 국가별 파트너 설정'!$C$12*'② 국가별 파트너 설정'!$E$8)</f>
        <v>28540.38571125</v>
      </c>
      <c r="O9" s="88" t="n">
        <f aca="false">SUM(C9:N9)</f>
        <v>184883.67631875</v>
      </c>
    </row>
    <row r="10" customFormat="false" ht="15" hidden="false" customHeight="false" outlineLevel="0" collapsed="false">
      <c r="B10" s="5" t="s">
        <v>139</v>
      </c>
      <c r="C10" s="109" t="n">
        <f aca="false">C9*'② 국가별 파트너 설정'!$C$13</f>
        <v>3085166.3535</v>
      </c>
      <c r="D10" s="109" t="n">
        <f aca="false">D9*'② 국가별 파트너 설정'!$C$13</f>
        <v>6757241.45775</v>
      </c>
      <c r="E10" s="109" t="n">
        <f aca="false">E9*'② 국가별 파트너 설정'!$C$13</f>
        <v>9842407.81125</v>
      </c>
      <c r="F10" s="109" t="n">
        <f aca="false">F9*'② 국가별 파트너 설정'!$C$13</f>
        <v>13514482.9155</v>
      </c>
      <c r="G10" s="109" t="n">
        <f aca="false">G9*'② 국가별 파트너 설정'!$C$13</f>
        <v>16599649.269</v>
      </c>
      <c r="H10" s="109" t="n">
        <f aca="false">H9*'② 국가별 파트너 설정'!$C$13</f>
        <v>19684815.6225</v>
      </c>
      <c r="I10" s="109" t="n">
        <f aca="false">I9*'② 국가별 파트너 설정'!$C$13</f>
        <v>23356890.72675</v>
      </c>
      <c r="J10" s="109" t="n">
        <f aca="false">J9*'② 국가별 파트너 설정'!$C$13</f>
        <v>26442057.08025</v>
      </c>
      <c r="K10" s="109" t="n">
        <f aca="false">K9*'② 국가별 파트너 설정'!$C$13</f>
        <v>30114132.1845</v>
      </c>
      <c r="L10" s="109" t="n">
        <f aca="false">L9*'② 국가별 파트너 설정'!$C$13</f>
        <v>33199298.538</v>
      </c>
      <c r="M10" s="109" t="n">
        <f aca="false">M9*'② 국가별 파트너 설정'!$C$13</f>
        <v>36284464.8915</v>
      </c>
      <c r="N10" s="109" t="n">
        <f aca="false">N9*'② 국가별 파트너 설정'!$C$13</f>
        <v>39956539.99575</v>
      </c>
      <c r="O10" s="110" t="n">
        <f aca="false">SUM(C10:N10)</f>
        <v>258837146.84625</v>
      </c>
    </row>
    <row r="12" customFormat="false" ht="21.75" hidden="false" customHeight="true" outlineLevel="0" collapsed="false">
      <c r="B12" s="111" t="s">
        <v>140</v>
      </c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</row>
    <row r="13" customFormat="false" ht="15" hidden="false" customHeight="false" outlineLevel="0" collapsed="false">
      <c r="B13" s="91" t="s">
        <v>136</v>
      </c>
      <c r="C13" s="63" t="n">
        <v>13</v>
      </c>
      <c r="D13" s="63" t="n">
        <v>26</v>
      </c>
      <c r="E13" s="63" t="n">
        <v>39</v>
      </c>
      <c r="F13" s="63" t="n">
        <v>52</v>
      </c>
      <c r="G13" s="63" t="n">
        <v>65</v>
      </c>
      <c r="H13" s="63" t="n">
        <v>78</v>
      </c>
      <c r="I13" s="63" t="n">
        <v>91</v>
      </c>
      <c r="J13" s="63" t="n">
        <v>104</v>
      </c>
      <c r="K13" s="63" t="n">
        <v>117</v>
      </c>
      <c r="L13" s="63" t="n">
        <v>130</v>
      </c>
      <c r="M13" s="63" t="n">
        <v>143</v>
      </c>
      <c r="N13" s="63" t="n">
        <v>156</v>
      </c>
      <c r="O13" s="45" t="n">
        <f aca="false">N13</f>
        <v>156</v>
      </c>
    </row>
    <row r="14" customFormat="false" ht="15" hidden="false" customHeight="false" outlineLevel="0" collapsed="false">
      <c r="B14" s="91" t="s">
        <v>137</v>
      </c>
      <c r="C14" s="108" t="n">
        <f aca="false">ROUND(C13*'② 국가별 파트너 설정'!$C$14,0)</f>
        <v>3</v>
      </c>
      <c r="D14" s="108" t="n">
        <f aca="false">ROUND(D13*'② 국가별 파트너 설정'!$C$14,0)</f>
        <v>5</v>
      </c>
      <c r="E14" s="108" t="n">
        <f aca="false">ROUND(E13*'② 국가별 파트너 설정'!$C$14,0)</f>
        <v>8</v>
      </c>
      <c r="F14" s="108" t="n">
        <f aca="false">ROUND(F13*'② 국가별 파트너 설정'!$C$14,0)</f>
        <v>10</v>
      </c>
      <c r="G14" s="108" t="n">
        <f aca="false">ROUND(G13*'② 국가별 파트너 설정'!$C$14,0)</f>
        <v>13</v>
      </c>
      <c r="H14" s="108" t="n">
        <f aca="false">ROUND(H13*'② 국가별 파트너 설정'!$C$14,0)</f>
        <v>16</v>
      </c>
      <c r="I14" s="108" t="n">
        <f aca="false">ROUND(I13*'② 국가별 파트너 설정'!$C$14,0)</f>
        <v>18</v>
      </c>
      <c r="J14" s="108" t="n">
        <f aca="false">ROUND(J13*'② 국가별 파트너 설정'!$C$14,0)</f>
        <v>21</v>
      </c>
      <c r="K14" s="108" t="n">
        <f aca="false">ROUND(K13*'② 국가별 파트너 설정'!$C$14,0)</f>
        <v>23</v>
      </c>
      <c r="L14" s="108" t="n">
        <f aca="false">ROUND(L13*'② 국가별 파트너 설정'!$C$14,0)</f>
        <v>26</v>
      </c>
      <c r="M14" s="108" t="n">
        <f aca="false">ROUND(M13*'② 국가별 파트너 설정'!$C$14,0)</f>
        <v>29</v>
      </c>
      <c r="N14" s="108" t="n">
        <f aca="false">ROUND(N13*'② 국가별 파트너 설정'!$C$14,0)</f>
        <v>31</v>
      </c>
      <c r="O14" s="45" t="n">
        <f aca="false">ROUND(N13*'② 국가별 파트너 설정'!$C$14,0)</f>
        <v>31</v>
      </c>
    </row>
    <row r="15" customFormat="false" ht="15" hidden="false" customHeight="false" outlineLevel="0" collapsed="false">
      <c r="B15" s="91" t="s">
        <v>138</v>
      </c>
      <c r="C15" s="67" t="n">
        <f aca="false">(C14*'② 국가별 파트너 설정'!$C$15+(C13-C14)*0.375*'② 국가별 파트너 설정'!$C$16+(C13-C14)*0.625*'② 국가별 파트너 설정'!$C$17)*('② 국가별 파트너 설정'!$E$6+'② 국가별 파트너 설정'!$C$11*'② 국가별 파트너 설정'!$E$7+'② 국가별 파트너 설정'!$C$12*'② 국가별 파트너 설정'!$E$8)</f>
        <v>1981.0952775</v>
      </c>
      <c r="D15" s="67" t="n">
        <f aca="false">(D14*'② 국가별 파트너 설정'!$C$15+(D13-D14)*0.375*'② 국가별 파트너 설정'!$C$16+(D13-D14)*0.625*'② 국가별 파트너 설정'!$C$17)*('② 국가별 파트너 설정'!$E$6+'② 국가별 파트너 설정'!$C$11*'② 국가별 파트너 설정'!$E$7+'② 국가별 파트너 설정'!$C$12*'② 국가별 파트너 설정'!$E$8)</f>
        <v>3542.97001875</v>
      </c>
      <c r="E15" s="67" t="n">
        <f aca="false">(E14*'② 국가별 파트너 설정'!$C$15+(E13-E14)*0.375*'② 국가별 파트너 설정'!$C$16+(E13-E14)*0.625*'② 국가별 파트너 설정'!$C$17)*('② 국가별 파트너 설정'!$E$6+'② 국가별 파트너 설정'!$C$11*'② 국가별 파트너 설정'!$E$7+'② 국가별 파트너 설정'!$C$12*'② 국가별 파트너 설정'!$E$8)</f>
        <v>5524.06529625</v>
      </c>
      <c r="F15" s="67" t="n">
        <f aca="false">(F14*'② 국가별 파트너 설정'!$C$15+(F13-F14)*0.375*'② 국가별 파트너 설정'!$C$16+(F13-F14)*0.625*'② 국가별 파트너 설정'!$C$17)*('② 국가별 파트너 설정'!$E$6+'② 국가별 파트너 설정'!$C$11*'② 국가별 파트너 설정'!$E$7+'② 국가별 파트너 설정'!$C$12*'② 국가별 파트너 설정'!$E$8)</f>
        <v>7085.9400375</v>
      </c>
      <c r="G15" s="67" t="n">
        <f aca="false">(G14*'② 국가별 파트너 설정'!$C$15+(G13-G14)*0.375*'② 국가별 파트너 설정'!$C$16+(G13-G14)*0.625*'② 국가별 파트너 설정'!$C$17)*('② 국가별 파트너 설정'!$E$6+'② 국가별 파트너 설정'!$C$11*'② 국가별 파트너 설정'!$E$7+'② 국가별 파트너 설정'!$C$12*'② 국가별 파트너 설정'!$E$8)</f>
        <v>9067.035315</v>
      </c>
      <c r="H15" s="67" t="n">
        <f aca="false">(H14*'② 국가별 파트너 설정'!$C$15+(H13-H14)*0.375*'② 국가별 파트너 설정'!$C$16+(H13-H14)*0.625*'② 국가별 파트너 설정'!$C$17)*('② 국가별 파트너 설정'!$E$6+'② 국가별 파트너 설정'!$C$11*'② 국가별 파트너 설정'!$E$7+'② 국가별 파트너 설정'!$C$12*'② 국가별 파트너 설정'!$E$8)</f>
        <v>11048.1305925</v>
      </c>
      <c r="I15" s="67" t="n">
        <f aca="false">(I14*'② 국가별 파트너 설정'!$C$15+(I13-I14)*0.375*'② 국가별 파트너 설정'!$C$16+(I13-I14)*0.625*'② 국가별 파트너 설정'!$C$17)*('② 국가별 파트너 설정'!$E$6+'② 국가별 파트너 설정'!$C$11*'② 국가별 파트너 설정'!$E$7+'② 국가별 파트너 설정'!$C$12*'② 국가별 파트너 설정'!$E$8)</f>
        <v>12610.00533375</v>
      </c>
      <c r="J15" s="67" t="n">
        <f aca="false">(J14*'② 국가별 파트너 설정'!$C$15+(J13-J14)*0.375*'② 국가별 파트너 설정'!$C$16+(J13-J14)*0.625*'② 국가별 파트너 설정'!$C$17)*('② 국가별 파트너 설정'!$E$6+'② 국가별 파트너 설정'!$C$11*'② 국가별 파트너 설정'!$E$7+'② 국가별 파트너 설정'!$C$12*'② 국가별 파트너 설정'!$E$8)</f>
        <v>14591.10061125</v>
      </c>
      <c r="K15" s="67" t="n">
        <f aca="false">(K14*'② 국가별 파트너 설정'!$C$15+(K13-K14)*0.375*'② 국가별 파트너 설정'!$C$16+(K13-K14)*0.625*'② 국가별 파트너 설정'!$C$17)*('② 국가별 파트너 설정'!$E$6+'② 국가별 파트너 설정'!$C$11*'② 국가별 파트너 설정'!$E$7+'② 국가별 파트너 설정'!$C$12*'② 국가별 파트너 설정'!$E$8)</f>
        <v>16152.9753525</v>
      </c>
      <c r="L15" s="67" t="n">
        <f aca="false">(L14*'② 국가별 파트너 설정'!$C$15+(L13-L14)*0.375*'② 국가별 파트너 설정'!$C$16+(L13-L14)*0.625*'② 국가별 파트너 설정'!$C$17)*('② 국가별 파트너 설정'!$E$6+'② 국가별 파트너 설정'!$C$11*'② 국가별 파트너 설정'!$E$7+'② 국가별 파트너 설정'!$C$12*'② 국가별 파트너 설정'!$E$8)</f>
        <v>18134.07063</v>
      </c>
      <c r="M15" s="67" t="n">
        <f aca="false">(M14*'② 국가별 파트너 설정'!$C$15+(M13-M14)*0.375*'② 국가별 파트너 설정'!$C$16+(M13-M14)*0.625*'② 국가별 파트너 설정'!$C$17)*('② 국가별 파트너 설정'!$E$6+'② 국가별 파트너 설정'!$C$11*'② 국가별 파트너 설정'!$E$7+'② 국가별 파트너 설정'!$C$12*'② 국가별 파트너 설정'!$E$8)</f>
        <v>20115.1659075</v>
      </c>
      <c r="N15" s="67" t="n">
        <f aca="false">(N14*'② 국가별 파트너 설정'!$C$15+(N13-N14)*0.375*'② 국가별 파트너 설정'!$C$16+(N13-N14)*0.625*'② 국가별 파트너 설정'!$C$17)*('② 국가별 파트너 설정'!$E$6+'② 국가별 파트너 설정'!$C$11*'② 국가별 파트너 설정'!$E$7+'② 국가별 파트너 설정'!$C$12*'② 국가별 파트너 설정'!$E$8)</f>
        <v>21677.04064875</v>
      </c>
      <c r="O15" s="88" t="n">
        <f aca="false">SUM(C15:N15)</f>
        <v>141529.59502125</v>
      </c>
    </row>
    <row r="16" customFormat="false" ht="15" hidden="false" customHeight="false" outlineLevel="0" collapsed="false">
      <c r="B16" s="15" t="s">
        <v>139</v>
      </c>
      <c r="C16" s="112" t="n">
        <f aca="false">C15*'② 국가별 파트너 설정'!$C$13</f>
        <v>2773533.3885</v>
      </c>
      <c r="D16" s="112" t="n">
        <f aca="false">D15*'② 국가별 파트너 설정'!$C$13</f>
        <v>4960158.02625</v>
      </c>
      <c r="E16" s="112" t="n">
        <f aca="false">E15*'② 국가별 파트너 설정'!$C$13</f>
        <v>7733691.41475</v>
      </c>
      <c r="F16" s="112" t="n">
        <f aca="false">F15*'② 국가별 파트너 설정'!$C$13</f>
        <v>9920316.0525</v>
      </c>
      <c r="G16" s="112" t="n">
        <f aca="false">G15*'② 국가별 파트너 설정'!$C$13</f>
        <v>12693849.441</v>
      </c>
      <c r="H16" s="112" t="n">
        <f aca="false">H15*'② 국가별 파트너 설정'!$C$13</f>
        <v>15467382.8295</v>
      </c>
      <c r="I16" s="112" t="n">
        <f aca="false">I15*'② 국가별 파트너 설정'!$C$13</f>
        <v>17654007.46725</v>
      </c>
      <c r="J16" s="112" t="n">
        <f aca="false">J15*'② 국가별 파트너 설정'!$C$13</f>
        <v>20427540.85575</v>
      </c>
      <c r="K16" s="112" t="n">
        <f aca="false">K15*'② 국가별 파트너 설정'!$C$13</f>
        <v>22614165.4935</v>
      </c>
      <c r="L16" s="112" t="n">
        <f aca="false">L15*'② 국가별 파트너 설정'!$C$13</f>
        <v>25387698.882</v>
      </c>
      <c r="M16" s="112" t="n">
        <f aca="false">M15*'② 국가별 파트너 설정'!$C$13</f>
        <v>28161232.2705</v>
      </c>
      <c r="N16" s="112" t="n">
        <f aca="false">N15*'② 국가별 파트너 설정'!$C$13</f>
        <v>30347856.90825</v>
      </c>
      <c r="O16" s="110" t="n">
        <f aca="false">SUM(C16:N16)</f>
        <v>198141433.02975</v>
      </c>
    </row>
    <row r="18" customFormat="false" ht="21.75" hidden="false" customHeight="true" outlineLevel="0" collapsed="false">
      <c r="B18" s="113" t="s">
        <v>141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</row>
    <row r="19" customFormat="false" ht="15" hidden="false" customHeight="false" outlineLevel="0" collapsed="false">
      <c r="B19" s="98" t="s">
        <v>136</v>
      </c>
      <c r="C19" s="63" t="n">
        <v>7</v>
      </c>
      <c r="D19" s="63" t="n">
        <v>14</v>
      </c>
      <c r="E19" s="63" t="n">
        <v>21</v>
      </c>
      <c r="F19" s="63" t="n">
        <v>28</v>
      </c>
      <c r="G19" s="63" t="n">
        <v>35</v>
      </c>
      <c r="H19" s="63" t="n">
        <v>42</v>
      </c>
      <c r="I19" s="63" t="n">
        <v>49</v>
      </c>
      <c r="J19" s="63" t="n">
        <v>56</v>
      </c>
      <c r="K19" s="63" t="n">
        <v>63</v>
      </c>
      <c r="L19" s="63" t="n">
        <v>70</v>
      </c>
      <c r="M19" s="63" t="n">
        <v>77</v>
      </c>
      <c r="N19" s="63" t="n">
        <v>84</v>
      </c>
      <c r="O19" s="45" t="n">
        <f aca="false">N19</f>
        <v>84</v>
      </c>
    </row>
    <row r="20" customFormat="false" ht="15" hidden="false" customHeight="false" outlineLevel="0" collapsed="false">
      <c r="B20" s="98" t="s">
        <v>137</v>
      </c>
      <c r="C20" s="114" t="n">
        <f aca="false">ROUND(C19*'② 국가별 파트너 설정'!$C$14,0)</f>
        <v>1</v>
      </c>
      <c r="D20" s="114" t="n">
        <f aca="false">ROUND(D19*'② 국가별 파트너 설정'!$C$14,0)</f>
        <v>3</v>
      </c>
      <c r="E20" s="114" t="n">
        <f aca="false">ROUND(E19*'② 국가별 파트너 설정'!$C$14,0)</f>
        <v>4</v>
      </c>
      <c r="F20" s="114" t="n">
        <f aca="false">ROUND(F19*'② 국가별 파트너 설정'!$C$14,0)</f>
        <v>6</v>
      </c>
      <c r="G20" s="114" t="n">
        <f aca="false">ROUND(G19*'② 국가별 파트너 설정'!$C$14,0)</f>
        <v>7</v>
      </c>
      <c r="H20" s="114" t="n">
        <f aca="false">ROUND(H19*'② 국가별 파트너 설정'!$C$14,0)</f>
        <v>8</v>
      </c>
      <c r="I20" s="114" t="n">
        <f aca="false">ROUND(I19*'② 국가별 파트너 설정'!$C$14,0)</f>
        <v>10</v>
      </c>
      <c r="J20" s="114" t="n">
        <f aca="false">ROUND(J19*'② 국가별 파트너 설정'!$C$14,0)</f>
        <v>11</v>
      </c>
      <c r="K20" s="114" t="n">
        <f aca="false">ROUND(K19*'② 국가별 파트너 설정'!$C$14,0)</f>
        <v>13</v>
      </c>
      <c r="L20" s="114" t="n">
        <f aca="false">ROUND(L19*'② 국가별 파트너 설정'!$C$14,0)</f>
        <v>14</v>
      </c>
      <c r="M20" s="114" t="n">
        <f aca="false">ROUND(M19*'② 국가별 파트너 설정'!$C$14,0)</f>
        <v>15</v>
      </c>
      <c r="N20" s="114" t="n">
        <f aca="false">ROUND(N19*'② 국가별 파트너 설정'!$C$14,0)</f>
        <v>17</v>
      </c>
      <c r="O20" s="45" t="n">
        <f aca="false">ROUND(N19*'② 국가별 파트너 설정'!$C$14,0)</f>
        <v>17</v>
      </c>
    </row>
    <row r="21" customFormat="false" ht="15" hidden="false" customHeight="false" outlineLevel="0" collapsed="false">
      <c r="B21" s="98" t="s">
        <v>138</v>
      </c>
      <c r="C21" s="71" t="n">
        <f aca="false">(C20*'② 국가별 파트너 설정'!$C$15+(C19-C20)*0.375*'② 국가별 파트너 설정'!$C$16+(C19-C20)*0.625*'② 국가별 파트너 설정'!$C$17)*('② 국가별 파트너 설정'!$E$6+'② 국가별 파트너 설정'!$C$11*'② 국가별 파트너 설정'!$E$7+'② 국가별 파트너 설정'!$C$12*'② 국가별 파트너 설정'!$E$8)</f>
        <v>808.7617425</v>
      </c>
      <c r="D21" s="71" t="n">
        <f aca="false">(D20*'② 국가별 파트너 설정'!$C$15+(D19-D20)*0.375*'② 국가별 파트너 설정'!$C$16+(D19-D20)*0.625*'② 국가별 파트너 설정'!$C$17)*('② 국가별 파트너 설정'!$E$6+'② 국가별 파트너 설정'!$C$11*'② 국가별 파트너 설정'!$E$7+'② 국가별 파트너 설정'!$C$12*'② 국가별 파트너 설정'!$E$8)</f>
        <v>2036.74402125</v>
      </c>
      <c r="E21" s="71" t="n">
        <f aca="false">(E20*'② 국가별 파트너 설정'!$C$15+(E19-E20)*0.375*'② 국가별 파트너 설정'!$C$16+(E19-E20)*0.625*'② 국가별 파트너 설정'!$C$17)*('② 국가별 파트너 설정'!$E$6+'② 국가별 파트너 설정'!$C$11*'② 국가별 파트너 설정'!$E$7+'② 국가별 파트너 설정'!$C$12*'② 국가별 파트너 설정'!$E$8)</f>
        <v>2845.50576375</v>
      </c>
      <c r="F21" s="71" t="n">
        <f aca="false">(F20*'② 국가별 파트너 설정'!$C$15+(F19-F20)*0.375*'② 국가별 파트너 설정'!$C$16+(F19-F20)*0.625*'② 국가별 파트너 설정'!$C$17)*('② 국가별 파트너 설정'!$E$6+'② 국가별 파트너 설정'!$C$11*'② 국가별 파트너 설정'!$E$7+'② 국가별 파트너 설정'!$C$12*'② 국가별 파트너 설정'!$E$8)</f>
        <v>4073.4880425</v>
      </c>
      <c r="G21" s="71" t="n">
        <f aca="false">(G20*'② 국가별 파트너 설정'!$C$15+(G19-G20)*0.375*'② 국가별 파트너 설정'!$C$16+(G19-G20)*0.625*'② 국가별 파트너 설정'!$C$17)*('② 국가별 파트너 설정'!$E$6+'② 국가별 파트너 설정'!$C$11*'② 국가별 파트너 설정'!$E$7+'② 국가별 파트너 설정'!$C$12*'② 국가별 파트너 설정'!$E$8)</f>
        <v>4882.249785</v>
      </c>
      <c r="H21" s="71" t="n">
        <f aca="false">(H20*'② 국가별 파트너 설정'!$C$15+(H19-H20)*0.375*'② 국가별 파트너 설정'!$C$16+(H19-H20)*0.625*'② 국가별 파트너 설정'!$C$17)*('② 국가별 파트너 설정'!$E$6+'② 국가별 파트너 설정'!$C$11*'② 국가별 파트너 설정'!$E$7+'② 국가별 파트너 설정'!$C$12*'② 국가별 파트너 설정'!$E$8)</f>
        <v>5691.0115275</v>
      </c>
      <c r="I21" s="71" t="n">
        <f aca="false">(I20*'② 국가별 파트너 설정'!$C$15+(I19-I20)*0.375*'② 국가별 파트너 설정'!$C$16+(I19-I20)*0.625*'② 국가별 파트너 설정'!$C$17)*('② 국가별 파트너 설정'!$E$6+'② 국가별 파트너 설정'!$C$11*'② 국가별 파트너 설정'!$E$7+'② 국가별 파트너 설정'!$C$12*'② 국가별 파트너 설정'!$E$8)</f>
        <v>6918.99380625</v>
      </c>
      <c r="J21" s="71" t="n">
        <f aca="false">(J20*'② 국가별 파트너 설정'!$C$15+(J19-J20)*0.375*'② 국가별 파트너 설정'!$C$16+(J19-J20)*0.625*'② 국가별 파트너 설정'!$C$17)*('② 국가별 파트너 설정'!$E$6+'② 국가별 파트너 설정'!$C$11*'② 국가별 파트너 설정'!$E$7+'② 국가별 파트너 설정'!$C$12*'② 국가별 파트너 설정'!$E$8)</f>
        <v>7727.75554875</v>
      </c>
      <c r="K21" s="71" t="n">
        <f aca="false">(K20*'② 국가별 파트너 설정'!$C$15+(K19-K20)*0.375*'② 국가별 파트너 설정'!$C$16+(K19-K20)*0.625*'② 국가별 파트너 설정'!$C$17)*('② 국가별 파트너 설정'!$E$6+'② 국가별 파트너 설정'!$C$11*'② 국가별 파트너 설정'!$E$7+'② 국가별 파트너 설정'!$C$12*'② 국가별 파트너 설정'!$E$8)</f>
        <v>8955.7378275</v>
      </c>
      <c r="L21" s="71" t="n">
        <f aca="false">(L20*'② 국가별 파트너 설정'!$C$15+(L19-L20)*0.375*'② 국가별 파트너 설정'!$C$16+(L19-L20)*0.625*'② 국가별 파트너 설정'!$C$17)*('② 국가별 파트너 설정'!$E$6+'② 국가별 파트너 설정'!$C$11*'② 국가별 파트너 설정'!$E$7+'② 국가별 파트너 설정'!$C$12*'② 국가별 파트너 설정'!$E$8)</f>
        <v>9764.49957</v>
      </c>
      <c r="M21" s="71" t="n">
        <f aca="false">(M20*'② 국가별 파트너 설정'!$C$15+(M19-M20)*0.375*'② 국가별 파트너 설정'!$C$16+(M19-M20)*0.625*'② 국가별 파트너 설정'!$C$17)*('② 국가별 파트너 설정'!$E$6+'② 국가별 파트너 설정'!$C$11*'② 국가별 파트너 설정'!$E$7+'② 국가별 파트너 설정'!$C$12*'② 국가별 파트너 설정'!$E$8)</f>
        <v>10573.2613125</v>
      </c>
      <c r="N21" s="71" t="n">
        <f aca="false">(N20*'② 국가별 파트너 설정'!$C$15+(N19-N20)*0.375*'② 국가별 파트너 설정'!$C$16+(N19-N20)*0.625*'② 국가별 파트너 설정'!$C$17)*('② 국가별 파트너 설정'!$E$6+'② 국가별 파트너 설정'!$C$11*'② 국가별 파트너 설정'!$E$7+'② 국가별 파트너 설정'!$C$12*'② 국가별 파트너 설정'!$E$8)</f>
        <v>11801.24359125</v>
      </c>
      <c r="O21" s="88" t="n">
        <f aca="false">SUM(C21:N21)</f>
        <v>76079.25253875</v>
      </c>
    </row>
    <row r="22" customFormat="false" ht="15" hidden="false" customHeight="false" outlineLevel="0" collapsed="false">
      <c r="B22" s="17" t="s">
        <v>139</v>
      </c>
      <c r="C22" s="115" t="n">
        <f aca="false">C21*'② 국가별 파트너 설정'!$C$13</f>
        <v>1132266.4395</v>
      </c>
      <c r="D22" s="115" t="n">
        <f aca="false">D21*'② 국가별 파트너 설정'!$C$13</f>
        <v>2851441.62975</v>
      </c>
      <c r="E22" s="115" t="n">
        <f aca="false">E21*'② 국가별 파트너 설정'!$C$13</f>
        <v>3983708.06925</v>
      </c>
      <c r="F22" s="115" t="n">
        <f aca="false">F21*'② 국가별 파트너 설정'!$C$13</f>
        <v>5702883.2595</v>
      </c>
      <c r="G22" s="115" t="n">
        <f aca="false">G21*'② 국가별 파트너 설정'!$C$13</f>
        <v>6835149.699</v>
      </c>
      <c r="H22" s="115" t="n">
        <f aca="false">H21*'② 국가별 파트너 설정'!$C$13</f>
        <v>7967416.1385</v>
      </c>
      <c r="I22" s="115" t="n">
        <f aca="false">I21*'② 국가별 파트너 설정'!$C$13</f>
        <v>9686591.32875</v>
      </c>
      <c r="J22" s="115" t="n">
        <f aca="false">J21*'② 국가별 파트너 설정'!$C$13</f>
        <v>10818857.76825</v>
      </c>
      <c r="K22" s="115" t="n">
        <f aca="false">K21*'② 국가별 파트너 설정'!$C$13</f>
        <v>12538032.9585</v>
      </c>
      <c r="L22" s="115" t="n">
        <f aca="false">L21*'② 국가별 파트너 설정'!$C$13</f>
        <v>13670299.398</v>
      </c>
      <c r="M22" s="115" t="n">
        <f aca="false">M21*'② 국가별 파트너 설정'!$C$13</f>
        <v>14802565.8375</v>
      </c>
      <c r="N22" s="115" t="n">
        <f aca="false">N21*'② 국가별 파트너 설정'!$C$13</f>
        <v>16521741.02775</v>
      </c>
      <c r="O22" s="110" t="n">
        <f aca="false">SUM(C22:N22)</f>
        <v>106510953.55425</v>
      </c>
    </row>
    <row r="24" customFormat="false" ht="21.75" hidden="false" customHeight="true" outlineLevel="0" collapsed="false">
      <c r="B24" s="116" t="s">
        <v>142</v>
      </c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</row>
    <row r="25" customFormat="false" ht="15" hidden="false" customHeight="false" outlineLevel="0" collapsed="false">
      <c r="B25" s="95" t="s">
        <v>136</v>
      </c>
      <c r="C25" s="63" t="n">
        <v>8</v>
      </c>
      <c r="D25" s="63" t="n">
        <v>16</v>
      </c>
      <c r="E25" s="63" t="n">
        <v>24</v>
      </c>
      <c r="F25" s="63" t="n">
        <v>32</v>
      </c>
      <c r="G25" s="63" t="n">
        <v>40</v>
      </c>
      <c r="H25" s="63" t="n">
        <v>48</v>
      </c>
      <c r="I25" s="63" t="n">
        <v>56</v>
      </c>
      <c r="J25" s="63" t="n">
        <v>64</v>
      </c>
      <c r="K25" s="63" t="n">
        <v>72</v>
      </c>
      <c r="L25" s="63" t="n">
        <v>80</v>
      </c>
      <c r="M25" s="63" t="n">
        <v>88</v>
      </c>
      <c r="N25" s="63" t="n">
        <v>96</v>
      </c>
      <c r="O25" s="45" t="n">
        <f aca="false">N25</f>
        <v>96</v>
      </c>
    </row>
    <row r="26" customFormat="false" ht="15" hidden="false" customHeight="false" outlineLevel="0" collapsed="false">
      <c r="B26" s="95" t="s">
        <v>137</v>
      </c>
      <c r="C26" s="117" t="n">
        <f aca="false">ROUND(C25*'② 국가별 파트너 설정'!$C$14,0)</f>
        <v>2</v>
      </c>
      <c r="D26" s="117" t="n">
        <f aca="false">ROUND(D25*'② 국가별 파트너 설정'!$C$14,0)</f>
        <v>3</v>
      </c>
      <c r="E26" s="117" t="n">
        <f aca="false">ROUND(E25*'② 국가별 파트너 설정'!$C$14,0)</f>
        <v>5</v>
      </c>
      <c r="F26" s="117" t="n">
        <f aca="false">ROUND(F25*'② 국가별 파트너 설정'!$C$14,0)</f>
        <v>6</v>
      </c>
      <c r="G26" s="117" t="n">
        <f aca="false">ROUND(G25*'② 국가별 파트너 설정'!$C$14,0)</f>
        <v>8</v>
      </c>
      <c r="H26" s="117" t="n">
        <f aca="false">ROUND(H25*'② 국가별 파트너 설정'!$C$14,0)</f>
        <v>10</v>
      </c>
      <c r="I26" s="117" t="n">
        <f aca="false">ROUND(I25*'② 국가별 파트너 설정'!$C$14,0)</f>
        <v>11</v>
      </c>
      <c r="J26" s="117" t="n">
        <f aca="false">ROUND(J25*'② 국가별 파트너 설정'!$C$14,0)</f>
        <v>13</v>
      </c>
      <c r="K26" s="117" t="n">
        <f aca="false">ROUND(K25*'② 국가별 파트너 설정'!$C$14,0)</f>
        <v>14</v>
      </c>
      <c r="L26" s="117" t="n">
        <f aca="false">ROUND(L25*'② 국가별 파트너 설정'!$C$14,0)</f>
        <v>16</v>
      </c>
      <c r="M26" s="117" t="n">
        <f aca="false">ROUND(M25*'② 국가별 파트너 설정'!$C$14,0)</f>
        <v>18</v>
      </c>
      <c r="N26" s="117" t="n">
        <f aca="false">ROUND(N25*'② 국가별 파트너 설정'!$C$14,0)</f>
        <v>19</v>
      </c>
      <c r="O26" s="45" t="n">
        <f aca="false">ROUND(N25*'② 국가별 파트너 설정'!$C$14,0)</f>
        <v>19</v>
      </c>
    </row>
    <row r="27" customFormat="false" ht="15" hidden="false" customHeight="false" outlineLevel="0" collapsed="false">
      <c r="B27" s="95" t="s">
        <v>138</v>
      </c>
      <c r="C27" s="75" t="n">
        <f aca="false">(C26*'② 국가별 파트너 설정'!$C$15+(C25-C26)*0.375*'② 국가별 파트너 설정'!$C$16+(C25-C26)*0.625*'② 국가별 파트너 설정'!$C$17)*('② 국가별 파트너 설정'!$E$6+'② 국가별 파트너 설정'!$C$11*'② 국가별 파트너 설정'!$E$7+'② 국가별 파트너 설정'!$C$12*'② 국가별 파트너 설정'!$E$8)</f>
        <v>1283.6310225</v>
      </c>
      <c r="D27" s="75" t="n">
        <f aca="false">(D26*'② 국가별 파트너 설정'!$C$15+(D25-D26)*0.375*'② 국가별 파트너 설정'!$C$16+(D25-D26)*0.625*'② 국가별 파트너 설정'!$C$17)*('② 국가별 파트너 설정'!$E$6+'② 국가별 파트너 설정'!$C$11*'② 국가별 파트너 설정'!$E$7+'② 국가별 파트너 설정'!$C$12*'② 국가별 파트너 설정'!$E$8)</f>
        <v>2148.04150875</v>
      </c>
      <c r="E27" s="75" t="n">
        <f aca="false">(E26*'② 국가별 파트너 설정'!$C$15+(E25-E26)*0.375*'② 국가별 파트너 설정'!$C$16+(E25-E26)*0.625*'② 국가별 파트너 설정'!$C$17)*('② 국가별 파트너 설정'!$E$6+'② 국가별 파트너 설정'!$C$11*'② 국가별 파트너 설정'!$E$7+'② 국가별 파트너 설정'!$C$12*'② 국가별 파트너 설정'!$E$8)</f>
        <v>3431.67253125</v>
      </c>
      <c r="F27" s="75" t="n">
        <f aca="false">(F26*'② 국가별 파트너 설정'!$C$15+(F25-F26)*0.375*'② 국가별 파트너 설정'!$C$16+(F25-F26)*0.625*'② 국가별 파트너 설정'!$C$17)*('② 국가별 파트너 설정'!$E$6+'② 국가별 파트너 설정'!$C$11*'② 국가별 파트너 설정'!$E$7+'② 국가별 파트너 설정'!$C$12*'② 국가별 파트너 설정'!$E$8)</f>
        <v>4296.0830175</v>
      </c>
      <c r="G27" s="75" t="n">
        <f aca="false">(G26*'② 국가별 파트너 설정'!$C$15+(G25-G26)*0.375*'② 국가별 파트너 설정'!$C$16+(G25-G26)*0.625*'② 국가별 파트너 설정'!$C$17)*('② 국가별 파트너 설정'!$E$6+'② 국가별 파트너 설정'!$C$11*'② 국가별 파트너 설정'!$E$7+'② 국가별 파트너 설정'!$C$12*'② 국가별 파트너 설정'!$E$8)</f>
        <v>5579.71404</v>
      </c>
      <c r="H27" s="75" t="n">
        <f aca="false">(H26*'② 국가별 파트너 설정'!$C$15+(H25-H26)*0.375*'② 국가별 파트너 설정'!$C$16+(H25-H26)*0.625*'② 국가별 파트너 설정'!$C$17)*('② 국가별 파트너 설정'!$E$6+'② 국가별 파트너 설정'!$C$11*'② 국가별 파트너 설정'!$E$7+'② 국가별 파트너 설정'!$C$12*'② 국가별 파트너 설정'!$E$8)</f>
        <v>6863.3450625</v>
      </c>
      <c r="I27" s="75" t="n">
        <f aca="false">(I26*'② 국가별 파트너 설정'!$C$15+(I25-I26)*0.375*'② 국가별 파트너 설정'!$C$16+(I25-I26)*0.625*'② 국가별 파트너 설정'!$C$17)*('② 국가별 파트너 설정'!$E$6+'② 국가별 파트너 설정'!$C$11*'② 국가별 파트너 설정'!$E$7+'② 국가별 파트너 설정'!$C$12*'② 국가별 파트너 설정'!$E$8)</f>
        <v>7727.75554875</v>
      </c>
      <c r="J27" s="75" t="n">
        <f aca="false">(J26*'② 국가별 파트너 설정'!$C$15+(J25-J26)*0.375*'② 국가별 파트너 설정'!$C$16+(J25-J26)*0.625*'② 국가별 파트너 설정'!$C$17)*('② 국가별 파트너 설정'!$E$6+'② 국가별 파트너 설정'!$C$11*'② 국가별 파트너 설정'!$E$7+'② 국가별 파트너 설정'!$C$12*'② 국가별 파트너 설정'!$E$8)</f>
        <v>9011.38657125</v>
      </c>
      <c r="K27" s="75" t="n">
        <f aca="false">(K26*'② 국가별 파트너 설정'!$C$15+(K25-K26)*0.375*'② 국가별 파트너 설정'!$C$16+(K25-K26)*0.625*'② 국가별 파트너 설정'!$C$17)*('② 국가별 파트너 설정'!$E$6+'② 국가별 파트너 설정'!$C$11*'② 국가별 파트너 설정'!$E$7+'② 국가별 파트너 설정'!$C$12*'② 국가별 파트너 설정'!$E$8)</f>
        <v>9875.7970575</v>
      </c>
      <c r="L27" s="75" t="n">
        <f aca="false">(L26*'② 국가별 파트너 설정'!$C$15+(L25-L26)*0.375*'② 국가별 파트너 설정'!$C$16+(L25-L26)*0.625*'② 국가별 파트너 설정'!$C$17)*('② 국가별 파트너 설정'!$E$6+'② 국가별 파트너 설정'!$C$11*'② 국가별 파트너 설정'!$E$7+'② 국가별 파트너 설정'!$C$12*'② 국가별 파트너 설정'!$E$8)</f>
        <v>11159.42808</v>
      </c>
      <c r="M27" s="75" t="n">
        <f aca="false">(M26*'② 국가별 파트너 설정'!$C$15+(M25-M26)*0.375*'② 국가별 파트너 설정'!$C$16+(M25-M26)*0.625*'② 국가별 파트너 설정'!$C$17)*('② 국가별 파트너 설정'!$E$6+'② 국가별 파트너 설정'!$C$11*'② 국가별 파트너 설정'!$E$7+'② 국가별 파트너 설정'!$C$12*'② 국가별 파트너 설정'!$E$8)</f>
        <v>12443.0591025</v>
      </c>
      <c r="N27" s="75" t="n">
        <f aca="false">(N26*'② 국가별 파트너 설정'!$C$15+(N25-N26)*0.375*'② 국가별 파트너 설정'!$C$16+(N25-N26)*0.625*'② 국가별 파트너 설정'!$C$17)*('② 국가별 파트너 설정'!$E$6+'② 국가별 파트너 설정'!$C$11*'② 국가별 파트너 설정'!$E$7+'② 국가별 파트너 설정'!$C$12*'② 국가별 파트너 설정'!$E$8)</f>
        <v>13307.46958875</v>
      </c>
      <c r="O27" s="88" t="n">
        <f aca="false">SUM(C27:N27)</f>
        <v>87127.38313125</v>
      </c>
    </row>
    <row r="28" customFormat="false" ht="15" hidden="false" customHeight="false" outlineLevel="0" collapsed="false">
      <c r="B28" s="23" t="s">
        <v>139</v>
      </c>
      <c r="C28" s="118" t="n">
        <f aca="false">C27*'② 국가별 파트너 설정'!$C$13</f>
        <v>1797083.4315</v>
      </c>
      <c r="D28" s="118" t="n">
        <f aca="false">D27*'② 국가별 파트너 설정'!$C$13</f>
        <v>3007258.11225</v>
      </c>
      <c r="E28" s="118" t="n">
        <f aca="false">E27*'② 국가별 파트너 설정'!$C$13</f>
        <v>4804341.54375</v>
      </c>
      <c r="F28" s="118" t="n">
        <f aca="false">F27*'② 국가별 파트너 설정'!$C$13</f>
        <v>6014516.2245</v>
      </c>
      <c r="G28" s="118" t="n">
        <f aca="false">G27*'② 국가별 파트너 설정'!$C$13</f>
        <v>7811599.656</v>
      </c>
      <c r="H28" s="118" t="n">
        <f aca="false">H27*'② 국가별 파트너 설정'!$C$13</f>
        <v>9608683.0875</v>
      </c>
      <c r="I28" s="118" t="n">
        <f aca="false">I27*'② 국가별 파트너 설정'!$C$13</f>
        <v>10818857.76825</v>
      </c>
      <c r="J28" s="118" t="n">
        <f aca="false">J27*'② 국가별 파트너 설정'!$C$13</f>
        <v>12615941.19975</v>
      </c>
      <c r="K28" s="118" t="n">
        <f aca="false">K27*'② 국가별 파트너 설정'!$C$13</f>
        <v>13826115.8805</v>
      </c>
      <c r="L28" s="118" t="n">
        <f aca="false">L27*'② 국가별 파트너 설정'!$C$13</f>
        <v>15623199.312</v>
      </c>
      <c r="M28" s="118" t="n">
        <f aca="false">M27*'② 국가별 파트너 설정'!$C$13</f>
        <v>17420282.7435</v>
      </c>
      <c r="N28" s="118" t="n">
        <f aca="false">N27*'② 국가별 파트너 설정'!$C$13</f>
        <v>18630457.42425</v>
      </c>
      <c r="O28" s="110" t="n">
        <f aca="false">SUM(C28:N28)</f>
        <v>121978336.38375</v>
      </c>
    </row>
    <row r="30" customFormat="false" ht="21.75" hidden="false" customHeight="true" outlineLevel="0" collapsed="false">
      <c r="B30" s="119" t="s">
        <v>143</v>
      </c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</row>
    <row r="31" customFormat="false" ht="15" hidden="false" customHeight="false" outlineLevel="0" collapsed="false">
      <c r="B31" s="101" t="s">
        <v>136</v>
      </c>
      <c r="C31" s="63" t="n">
        <v>4</v>
      </c>
      <c r="D31" s="63" t="n">
        <v>8</v>
      </c>
      <c r="E31" s="63" t="n">
        <v>12</v>
      </c>
      <c r="F31" s="63" t="n">
        <v>16</v>
      </c>
      <c r="G31" s="63" t="n">
        <v>20</v>
      </c>
      <c r="H31" s="63" t="n">
        <v>24</v>
      </c>
      <c r="I31" s="63" t="n">
        <v>28</v>
      </c>
      <c r="J31" s="63" t="n">
        <v>32</v>
      </c>
      <c r="K31" s="63" t="n">
        <v>36</v>
      </c>
      <c r="L31" s="63" t="n">
        <v>40</v>
      </c>
      <c r="M31" s="63" t="n">
        <v>44</v>
      </c>
      <c r="N31" s="63" t="n">
        <v>48</v>
      </c>
      <c r="O31" s="45" t="n">
        <f aca="false">N31</f>
        <v>48</v>
      </c>
    </row>
    <row r="32" customFormat="false" ht="15" hidden="false" customHeight="false" outlineLevel="0" collapsed="false">
      <c r="B32" s="101" t="s">
        <v>137</v>
      </c>
      <c r="C32" s="120" t="n">
        <f aca="false">ROUND(C31*'② 국가별 파트너 설정'!$C$14,0)</f>
        <v>1</v>
      </c>
      <c r="D32" s="120" t="n">
        <f aca="false">ROUND(D31*'② 국가별 파트너 설정'!$C$14,0)</f>
        <v>2</v>
      </c>
      <c r="E32" s="120" t="n">
        <f aca="false">ROUND(E31*'② 국가별 파트너 설정'!$C$14,0)</f>
        <v>2</v>
      </c>
      <c r="F32" s="120" t="n">
        <f aca="false">ROUND(F31*'② 국가별 파트너 설정'!$C$14,0)</f>
        <v>3</v>
      </c>
      <c r="G32" s="120" t="n">
        <f aca="false">ROUND(G31*'② 국가별 파트너 설정'!$C$14,0)</f>
        <v>4</v>
      </c>
      <c r="H32" s="120" t="n">
        <f aca="false">ROUND(H31*'② 국가별 파트너 설정'!$C$14,0)</f>
        <v>5</v>
      </c>
      <c r="I32" s="120" t="n">
        <f aca="false">ROUND(I31*'② 국가별 파트너 설정'!$C$14,0)</f>
        <v>6</v>
      </c>
      <c r="J32" s="120" t="n">
        <f aca="false">ROUND(J31*'② 국가별 파트너 설정'!$C$14,0)</f>
        <v>6</v>
      </c>
      <c r="K32" s="120" t="n">
        <f aca="false">ROUND(K31*'② 국가별 파트너 설정'!$C$14,0)</f>
        <v>7</v>
      </c>
      <c r="L32" s="120" t="n">
        <f aca="false">ROUND(L31*'② 국가별 파트너 설정'!$C$14,0)</f>
        <v>8</v>
      </c>
      <c r="M32" s="120" t="n">
        <f aca="false">ROUND(M31*'② 국가별 파트너 설정'!$C$14,0)</f>
        <v>9</v>
      </c>
      <c r="N32" s="120" t="n">
        <f aca="false">ROUND(N31*'② 국가별 파트너 설정'!$C$14,0)</f>
        <v>10</v>
      </c>
      <c r="O32" s="45" t="n">
        <f aca="false">ROUND(N31*'② 국가별 파트너 설정'!$C$14,0)</f>
        <v>10</v>
      </c>
    </row>
    <row r="33" customFormat="false" ht="15" hidden="false" customHeight="false" outlineLevel="0" collapsed="false">
      <c r="B33" s="101" t="s">
        <v>138</v>
      </c>
      <c r="C33" s="79" t="n">
        <f aca="false">(C32*'② 국가별 파트너 설정'!$C$15+(C31-C32)*0.375*'② 국가별 파트너 설정'!$C$16+(C31-C32)*0.625*'② 국가별 파트너 설정'!$C$17)*('② 국가별 파트너 설정'!$E$6+'② 국가별 파트너 설정'!$C$11*'② 국가별 파트너 설정'!$E$7+'② 국가별 파트너 설정'!$C$12*'② 국가별 파트너 설정'!$E$8)</f>
        <v>641.81551125</v>
      </c>
      <c r="D33" s="79" t="n">
        <f aca="false">(D32*'② 국가별 파트너 설정'!$C$15+(D31-D32)*0.375*'② 국가별 파트너 설정'!$C$16+(D31-D32)*0.625*'② 국가별 파트너 설정'!$C$17)*('② 국가별 파트너 설정'!$E$6+'② 국가별 파트너 설정'!$C$11*'② 국가별 파트너 설정'!$E$7+'② 국가별 파트너 설정'!$C$12*'② 국가별 파트너 설정'!$E$8)</f>
        <v>1283.6310225</v>
      </c>
      <c r="E33" s="79" t="n">
        <f aca="false">(E32*'② 국가별 파트너 설정'!$C$15+(E31-E32)*0.375*'② 국가별 파트너 설정'!$C$16+(E31-E32)*0.625*'② 국가별 파트너 설정'!$C$17)*('② 국가별 파트너 설정'!$E$6+'② 국가별 파트너 설정'!$C$11*'② 국가별 파트너 설정'!$E$7+'② 국가별 파트너 설정'!$C$12*'② 국가별 파트너 설정'!$E$8)</f>
        <v>1506.2259975</v>
      </c>
      <c r="F33" s="79" t="n">
        <f aca="false">(F32*'② 국가별 파트너 설정'!$C$15+(F31-F32)*0.375*'② 국가별 파트너 설정'!$C$16+(F31-F32)*0.625*'② 국가별 파트너 설정'!$C$17)*('② 국가별 파트너 설정'!$E$6+'② 국가별 파트너 설정'!$C$11*'② 국가별 파트너 설정'!$E$7+'② 국가별 파트너 설정'!$C$12*'② 국가별 파트너 설정'!$E$8)</f>
        <v>2148.04150875</v>
      </c>
      <c r="G33" s="79" t="n">
        <f aca="false">(G32*'② 국가별 파트너 설정'!$C$15+(G31-G32)*0.375*'② 국가별 파트너 설정'!$C$16+(G31-G32)*0.625*'② 국가별 파트너 설정'!$C$17)*('② 국가별 파트너 설정'!$E$6+'② 국가별 파트너 설정'!$C$11*'② 국가별 파트너 설정'!$E$7+'② 국가별 파트너 설정'!$C$12*'② 국가별 파트너 설정'!$E$8)</f>
        <v>2789.85702</v>
      </c>
      <c r="H33" s="79" t="n">
        <f aca="false">(H32*'② 국가별 파트너 설정'!$C$15+(H31-H32)*0.375*'② 국가별 파트너 설정'!$C$16+(H31-H32)*0.625*'② 국가별 파트너 설정'!$C$17)*('② 국가별 파트너 설정'!$E$6+'② 국가별 파트너 설정'!$C$11*'② 국가별 파트너 설정'!$E$7+'② 국가별 파트너 설정'!$C$12*'② 국가별 파트너 설정'!$E$8)</f>
        <v>3431.67253125</v>
      </c>
      <c r="I33" s="79" t="n">
        <f aca="false">(I32*'② 국가별 파트너 설정'!$C$15+(I31-I32)*0.375*'② 국가별 파트너 설정'!$C$16+(I31-I32)*0.625*'② 국가별 파트너 설정'!$C$17)*('② 국가별 파트너 설정'!$E$6+'② 국가별 파트너 설정'!$C$11*'② 국가별 파트너 설정'!$E$7+'② 국가별 파트너 설정'!$C$12*'② 국가별 파트너 설정'!$E$8)</f>
        <v>4073.4880425</v>
      </c>
      <c r="J33" s="79" t="n">
        <f aca="false">(J32*'② 국가별 파트너 설정'!$C$15+(J31-J32)*0.375*'② 국가별 파트너 설정'!$C$16+(J31-J32)*0.625*'② 국가별 파트너 설정'!$C$17)*('② 국가별 파트너 설정'!$E$6+'② 국가별 파트너 설정'!$C$11*'② 국가별 파트너 설정'!$E$7+'② 국가별 파트너 설정'!$C$12*'② 국가별 파트너 설정'!$E$8)</f>
        <v>4296.0830175</v>
      </c>
      <c r="K33" s="79" t="n">
        <f aca="false">(K32*'② 국가별 파트너 설정'!$C$15+(K31-K32)*0.375*'② 국가별 파트너 설정'!$C$16+(K31-K32)*0.625*'② 국가별 파트너 설정'!$C$17)*('② 국가별 파트너 설정'!$E$6+'② 국가별 파트너 설정'!$C$11*'② 국가별 파트너 설정'!$E$7+'② 국가별 파트너 설정'!$C$12*'② 국가별 파트너 설정'!$E$8)</f>
        <v>4937.89852875</v>
      </c>
      <c r="L33" s="79" t="n">
        <f aca="false">(L32*'② 국가별 파트너 설정'!$C$15+(L31-L32)*0.375*'② 국가별 파트너 설정'!$C$16+(L31-L32)*0.625*'② 국가별 파트너 설정'!$C$17)*('② 국가별 파트너 설정'!$E$6+'② 국가별 파트너 설정'!$C$11*'② 국가별 파트너 설정'!$E$7+'② 국가별 파트너 설정'!$C$12*'② 국가별 파트너 설정'!$E$8)</f>
        <v>5579.71404</v>
      </c>
      <c r="M33" s="79" t="n">
        <f aca="false">(M32*'② 국가별 파트너 설정'!$C$15+(M31-M32)*0.375*'② 국가별 파트너 설정'!$C$16+(M31-M32)*0.625*'② 국가별 파트너 설정'!$C$17)*('② 국가별 파트너 설정'!$E$6+'② 국가별 파트너 설정'!$C$11*'② 국가별 파트너 설정'!$E$7+'② 국가별 파트너 설정'!$C$12*'② 국가별 파트너 설정'!$E$8)</f>
        <v>6221.52955125</v>
      </c>
      <c r="N33" s="79" t="n">
        <f aca="false">(N32*'② 국가별 파트너 설정'!$C$15+(N31-N32)*0.375*'② 국가별 파트너 설정'!$C$16+(N31-N32)*0.625*'② 국가별 파트너 설정'!$C$17)*('② 국가별 파트너 설정'!$E$6+'② 국가별 파트너 설정'!$C$11*'② 국가별 파트너 설정'!$E$7+'② 국가별 파트너 설정'!$C$12*'② 국가별 파트너 설정'!$E$8)</f>
        <v>6863.3450625</v>
      </c>
      <c r="O33" s="88" t="n">
        <f aca="false">SUM(C33:N33)</f>
        <v>43773.30183375</v>
      </c>
    </row>
    <row r="34" customFormat="false" ht="15" hidden="false" customHeight="false" outlineLevel="0" collapsed="false">
      <c r="B34" s="29" t="s">
        <v>139</v>
      </c>
      <c r="C34" s="121" t="n">
        <f aca="false">C33*'② 국가별 파트너 설정'!$C$13</f>
        <v>898541.71575</v>
      </c>
      <c r="D34" s="121" t="n">
        <f aca="false">D33*'② 국가별 파트너 설정'!$C$13</f>
        <v>1797083.4315</v>
      </c>
      <c r="E34" s="121" t="n">
        <f aca="false">E33*'② 국가별 파트너 설정'!$C$13</f>
        <v>2108716.3965</v>
      </c>
      <c r="F34" s="121" t="n">
        <f aca="false">F33*'② 국가별 파트너 설정'!$C$13</f>
        <v>3007258.11225</v>
      </c>
      <c r="G34" s="121" t="n">
        <f aca="false">G33*'② 국가별 파트너 설정'!$C$13</f>
        <v>3905799.828</v>
      </c>
      <c r="H34" s="121" t="n">
        <f aca="false">H33*'② 국가별 파트너 설정'!$C$13</f>
        <v>4804341.54375</v>
      </c>
      <c r="I34" s="121" t="n">
        <f aca="false">I33*'② 국가별 파트너 설정'!$C$13</f>
        <v>5702883.2595</v>
      </c>
      <c r="J34" s="121" t="n">
        <f aca="false">J33*'② 국가별 파트너 설정'!$C$13</f>
        <v>6014516.2245</v>
      </c>
      <c r="K34" s="121" t="n">
        <f aca="false">K33*'② 국가별 파트너 설정'!$C$13</f>
        <v>6913057.94025</v>
      </c>
      <c r="L34" s="121" t="n">
        <f aca="false">L33*'② 국가별 파트너 설정'!$C$13</f>
        <v>7811599.656</v>
      </c>
      <c r="M34" s="121" t="n">
        <f aca="false">M33*'② 국가별 파트너 설정'!$C$13</f>
        <v>8710141.37175</v>
      </c>
      <c r="N34" s="121" t="n">
        <f aca="false">N33*'② 국가별 파트너 설정'!$C$13</f>
        <v>9608683.0875</v>
      </c>
      <c r="O34" s="110" t="n">
        <f aca="false">SUM(C34:N34)</f>
        <v>61282622.56725</v>
      </c>
    </row>
    <row r="36" customFormat="false" ht="21.75" hidden="false" customHeight="true" outlineLevel="0" collapsed="false">
      <c r="B36" s="122" t="s">
        <v>144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</row>
    <row r="37" customFormat="false" ht="15" hidden="false" customHeight="false" outlineLevel="0" collapsed="false">
      <c r="B37" s="104" t="s">
        <v>136</v>
      </c>
      <c r="C37" s="63" t="n">
        <v>3</v>
      </c>
      <c r="D37" s="63" t="n">
        <v>6</v>
      </c>
      <c r="E37" s="63" t="n">
        <v>9</v>
      </c>
      <c r="F37" s="63" t="n">
        <v>12</v>
      </c>
      <c r="G37" s="63" t="n">
        <v>15</v>
      </c>
      <c r="H37" s="63" t="n">
        <v>18</v>
      </c>
      <c r="I37" s="63" t="n">
        <v>21</v>
      </c>
      <c r="J37" s="63" t="n">
        <v>24</v>
      </c>
      <c r="K37" s="63" t="n">
        <v>27</v>
      </c>
      <c r="L37" s="63" t="n">
        <v>30</v>
      </c>
      <c r="M37" s="63" t="n">
        <v>33</v>
      </c>
      <c r="N37" s="63" t="n">
        <v>36</v>
      </c>
      <c r="O37" s="45" t="n">
        <f aca="false">N37</f>
        <v>36</v>
      </c>
    </row>
    <row r="38" customFormat="false" ht="15" hidden="false" customHeight="false" outlineLevel="0" collapsed="false">
      <c r="B38" s="104" t="s">
        <v>137</v>
      </c>
      <c r="C38" s="123" t="n">
        <f aca="false">ROUND(C37*'② 국가별 파트너 설정'!$C$14,0)</f>
        <v>1</v>
      </c>
      <c r="D38" s="123" t="n">
        <f aca="false">ROUND(D37*'② 국가별 파트너 설정'!$C$14,0)</f>
        <v>1</v>
      </c>
      <c r="E38" s="123" t="n">
        <f aca="false">ROUND(E37*'② 국가별 파트너 설정'!$C$14,0)</f>
        <v>2</v>
      </c>
      <c r="F38" s="123" t="n">
        <f aca="false">ROUND(F37*'② 국가별 파트너 설정'!$C$14,0)</f>
        <v>2</v>
      </c>
      <c r="G38" s="123" t="n">
        <f aca="false">ROUND(G37*'② 국가별 파트너 설정'!$C$14,0)</f>
        <v>3</v>
      </c>
      <c r="H38" s="123" t="n">
        <f aca="false">ROUND(H37*'② 국가별 파트너 설정'!$C$14,0)</f>
        <v>4</v>
      </c>
      <c r="I38" s="123" t="n">
        <f aca="false">ROUND(I37*'② 국가별 파트너 설정'!$C$14,0)</f>
        <v>4</v>
      </c>
      <c r="J38" s="123" t="n">
        <f aca="false">ROUND(J37*'② 국가별 파트너 설정'!$C$14,0)</f>
        <v>5</v>
      </c>
      <c r="K38" s="123" t="n">
        <f aca="false">ROUND(K37*'② 국가별 파트너 설정'!$C$14,0)</f>
        <v>5</v>
      </c>
      <c r="L38" s="123" t="n">
        <f aca="false">ROUND(L37*'② 국가별 파트너 설정'!$C$14,0)</f>
        <v>6</v>
      </c>
      <c r="M38" s="123" t="n">
        <f aca="false">ROUND(M37*'② 국가별 파트너 설정'!$C$14,0)</f>
        <v>7</v>
      </c>
      <c r="N38" s="123" t="n">
        <f aca="false">ROUND(N37*'② 국가별 파트너 설정'!$C$14,0)</f>
        <v>7</v>
      </c>
      <c r="O38" s="45" t="n">
        <f aca="false">ROUND(N37*'② 국가별 파트너 설정'!$C$14,0)</f>
        <v>7</v>
      </c>
    </row>
    <row r="39" customFormat="false" ht="15" hidden="false" customHeight="false" outlineLevel="0" collapsed="false">
      <c r="B39" s="104" t="s">
        <v>138</v>
      </c>
      <c r="C39" s="83" t="n">
        <f aca="false">(C38*'② 국가별 파트너 설정'!$C$15+(C37-C38)*0.375*'② 국가별 파트너 설정'!$C$16+(C37-C38)*0.625*'② 국가별 파트너 설정'!$C$17)*('② 국가별 파트너 설정'!$E$6+'② 국가별 파트너 설정'!$C$11*'② 국가별 파트너 설정'!$E$7+'② 국가별 파트너 설정'!$C$12*'② 국가별 파트너 설정'!$E$8)</f>
        <v>586.1667675</v>
      </c>
      <c r="D39" s="83" t="n">
        <f aca="false">(D38*'② 국가별 파트너 설정'!$C$15+(D37-D38)*0.375*'② 국가별 파트너 설정'!$C$16+(D37-D38)*0.625*'② 국가별 파트너 설정'!$C$17)*('② 국가별 파트너 설정'!$E$6+'② 국가별 파트너 설정'!$C$11*'② 국가별 파트너 설정'!$E$7+'② 국가별 파트너 설정'!$C$12*'② 국가별 파트너 설정'!$E$8)</f>
        <v>753.11299875</v>
      </c>
      <c r="E39" s="83" t="n">
        <f aca="false">(E38*'② 국가별 파트너 설정'!$C$15+(E37-E38)*0.375*'② 국가별 파트너 설정'!$C$16+(E37-E38)*0.625*'② 국가별 파트너 설정'!$C$17)*('② 국가별 파트너 설정'!$E$6+'② 국가별 파트너 설정'!$C$11*'② 국가별 파트너 설정'!$E$7+'② 국가별 파트너 설정'!$C$12*'② 국가별 파트너 설정'!$E$8)</f>
        <v>1339.27976625</v>
      </c>
      <c r="F39" s="83" t="n">
        <f aca="false">(F38*'② 국가별 파트너 설정'!$C$15+(F37-F38)*0.375*'② 국가별 파트너 설정'!$C$16+(F37-F38)*0.625*'② 국가별 파트너 설정'!$C$17)*('② 국가별 파트너 설정'!$E$6+'② 국가별 파트너 설정'!$C$11*'② 국가별 파트너 설정'!$E$7+'② 국가별 파트너 설정'!$C$12*'② 국가별 파트너 설정'!$E$8)</f>
        <v>1506.2259975</v>
      </c>
      <c r="G39" s="83" t="n">
        <f aca="false">(G38*'② 국가별 파트너 설정'!$C$15+(G37-G38)*0.375*'② 국가별 파트너 설정'!$C$16+(G37-G38)*0.625*'② 국가별 파트너 설정'!$C$17)*('② 국가별 파트너 설정'!$E$6+'② 국가별 파트너 설정'!$C$11*'② 국가별 파트너 설정'!$E$7+'② 국가별 파트너 설정'!$C$12*'② 국가별 파트너 설정'!$E$8)</f>
        <v>2092.392765</v>
      </c>
      <c r="H39" s="83" t="n">
        <f aca="false">(H38*'② 국가별 파트너 설정'!$C$15+(H37-H38)*0.375*'② 국가별 파트너 설정'!$C$16+(H37-H38)*0.625*'② 국가별 파트너 설정'!$C$17)*('② 국가별 파트너 설정'!$E$6+'② 국가별 파트너 설정'!$C$11*'② 국가별 파트너 설정'!$E$7+'② 국가별 파트너 설정'!$C$12*'② 국가별 파트너 설정'!$E$8)</f>
        <v>2678.5595325</v>
      </c>
      <c r="I39" s="83" t="n">
        <f aca="false">(I38*'② 국가별 파트너 설정'!$C$15+(I37-I38)*0.375*'② 국가별 파트너 설정'!$C$16+(I37-I38)*0.625*'② 국가별 파트너 설정'!$C$17)*('② 국가별 파트너 설정'!$E$6+'② 국가별 파트너 설정'!$C$11*'② 국가별 파트너 설정'!$E$7+'② 국가별 파트너 설정'!$C$12*'② 국가별 파트너 설정'!$E$8)</f>
        <v>2845.50576375</v>
      </c>
      <c r="J39" s="83" t="n">
        <f aca="false">(J38*'② 국가별 파트너 설정'!$C$15+(J37-J38)*0.375*'② 국가별 파트너 설정'!$C$16+(J37-J38)*0.625*'② 국가별 파트너 설정'!$C$17)*('② 국가별 파트너 설정'!$E$6+'② 국가별 파트너 설정'!$C$11*'② 국가별 파트너 설정'!$E$7+'② 국가별 파트너 설정'!$C$12*'② 국가별 파트너 설정'!$E$8)</f>
        <v>3431.67253125</v>
      </c>
      <c r="K39" s="83" t="n">
        <f aca="false">(K38*'② 국가별 파트너 설정'!$C$15+(K37-K38)*0.375*'② 국가별 파트너 설정'!$C$16+(K37-K38)*0.625*'② 국가별 파트너 설정'!$C$17)*('② 국가별 파트너 설정'!$E$6+'② 국가별 파트너 설정'!$C$11*'② 국가별 파트너 설정'!$E$7+'② 국가별 파트너 설정'!$C$12*'② 국가별 파트너 설정'!$E$8)</f>
        <v>3598.6187625</v>
      </c>
      <c r="L39" s="83" t="n">
        <f aca="false">(L38*'② 국가별 파트너 설정'!$C$15+(L37-L38)*0.375*'② 국가별 파트너 설정'!$C$16+(L37-L38)*0.625*'② 국가별 파트너 설정'!$C$17)*('② 국가별 파트너 설정'!$E$6+'② 국가별 파트너 설정'!$C$11*'② 국가별 파트너 설정'!$E$7+'② 국가별 파트너 설정'!$C$12*'② 국가별 파트너 설정'!$E$8)</f>
        <v>4184.78553</v>
      </c>
      <c r="M39" s="83" t="n">
        <f aca="false">(M38*'② 국가별 파트너 설정'!$C$15+(M37-M38)*0.375*'② 국가별 파트너 설정'!$C$16+(M37-M38)*0.625*'② 국가별 파트너 설정'!$C$17)*('② 국가별 파트너 설정'!$E$6+'② 국가별 파트너 설정'!$C$11*'② 국가별 파트너 설정'!$E$7+'② 국가별 파트너 설정'!$C$12*'② 국가별 파트너 설정'!$E$8)</f>
        <v>4770.9522975</v>
      </c>
      <c r="N39" s="83" t="n">
        <f aca="false">(N38*'② 국가별 파트너 설정'!$C$15+(N37-N38)*0.375*'② 국가별 파트너 설정'!$C$16+(N37-N38)*0.625*'② 국가별 파트너 설정'!$C$17)*('② 국가별 파트너 설정'!$E$6+'② 국가별 파트너 설정'!$C$11*'② 국가별 파트너 설정'!$E$7+'② 국가별 파트너 설정'!$C$12*'② 국가별 파트너 설정'!$E$8)</f>
        <v>4937.89852875</v>
      </c>
      <c r="O39" s="88" t="n">
        <f aca="false">SUM(C39:N39)</f>
        <v>32725.17124125</v>
      </c>
    </row>
    <row r="40" customFormat="false" ht="15" hidden="false" customHeight="false" outlineLevel="0" collapsed="false">
      <c r="B40" s="35" t="s">
        <v>139</v>
      </c>
      <c r="C40" s="124" t="n">
        <f aca="false">C39*'② 국가별 파트너 설정'!$C$13</f>
        <v>820633.4745</v>
      </c>
      <c r="D40" s="124" t="n">
        <f aca="false">D39*'② 국가별 파트너 설정'!$C$13</f>
        <v>1054358.19825</v>
      </c>
      <c r="E40" s="124" t="n">
        <f aca="false">E39*'② 국가별 파트너 설정'!$C$13</f>
        <v>1874991.67275</v>
      </c>
      <c r="F40" s="124" t="n">
        <f aca="false">F39*'② 국가별 파트너 설정'!$C$13</f>
        <v>2108716.3965</v>
      </c>
      <c r="G40" s="124" t="n">
        <f aca="false">G39*'② 국가별 파트너 설정'!$C$13</f>
        <v>2929349.871</v>
      </c>
      <c r="H40" s="124" t="n">
        <f aca="false">H39*'② 국가별 파트너 설정'!$C$13</f>
        <v>3749983.3455</v>
      </c>
      <c r="I40" s="124" t="n">
        <f aca="false">I39*'② 국가별 파트너 설정'!$C$13</f>
        <v>3983708.06925</v>
      </c>
      <c r="J40" s="124" t="n">
        <f aca="false">J39*'② 국가별 파트너 설정'!$C$13</f>
        <v>4804341.54375</v>
      </c>
      <c r="K40" s="124" t="n">
        <f aca="false">K39*'② 국가별 파트너 설정'!$C$13</f>
        <v>5038066.2675</v>
      </c>
      <c r="L40" s="124" t="n">
        <f aca="false">L39*'② 국가별 파트너 설정'!$C$13</f>
        <v>5858699.742</v>
      </c>
      <c r="M40" s="124" t="n">
        <f aca="false">M39*'② 국가별 파트너 설정'!$C$13</f>
        <v>6679333.2165</v>
      </c>
      <c r="N40" s="124" t="n">
        <f aca="false">N39*'② 국가별 파트너 설정'!$C$13</f>
        <v>6913057.94025</v>
      </c>
      <c r="O40" s="110" t="n">
        <f aca="false">SUM(C40:N40)</f>
        <v>45815239.73775</v>
      </c>
    </row>
    <row r="42" customFormat="false" ht="21.75" hidden="false" customHeight="true" outlineLevel="0" collapsed="false">
      <c r="B42" s="125" t="s">
        <v>145</v>
      </c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</row>
    <row r="43" customFormat="false" ht="15" hidden="false" customHeight="false" outlineLevel="0" collapsed="false">
      <c r="B43" s="91" t="s">
        <v>136</v>
      </c>
      <c r="C43" s="63" t="n">
        <v>3</v>
      </c>
      <c r="D43" s="63" t="n">
        <v>6</v>
      </c>
      <c r="E43" s="63" t="n">
        <v>9</v>
      </c>
      <c r="F43" s="63" t="n">
        <v>12</v>
      </c>
      <c r="G43" s="63" t="n">
        <v>15</v>
      </c>
      <c r="H43" s="63" t="n">
        <v>18</v>
      </c>
      <c r="I43" s="63" t="n">
        <v>21</v>
      </c>
      <c r="J43" s="63" t="n">
        <v>24</v>
      </c>
      <c r="K43" s="63" t="n">
        <v>27</v>
      </c>
      <c r="L43" s="63" t="n">
        <v>30</v>
      </c>
      <c r="M43" s="63" t="n">
        <v>33</v>
      </c>
      <c r="N43" s="63" t="n">
        <v>36</v>
      </c>
      <c r="O43" s="45" t="n">
        <f aca="false">N43</f>
        <v>36</v>
      </c>
    </row>
    <row r="44" customFormat="false" ht="15" hidden="false" customHeight="false" outlineLevel="0" collapsed="false">
      <c r="B44" s="91" t="s">
        <v>137</v>
      </c>
      <c r="C44" s="108" t="n">
        <f aca="false">ROUND(C43*'② 국가별 파트너 설정'!$C$14,0)</f>
        <v>1</v>
      </c>
      <c r="D44" s="108" t="n">
        <f aca="false">ROUND(D43*'② 국가별 파트너 설정'!$C$14,0)</f>
        <v>1</v>
      </c>
      <c r="E44" s="108" t="n">
        <f aca="false">ROUND(E43*'② 국가별 파트너 설정'!$C$14,0)</f>
        <v>2</v>
      </c>
      <c r="F44" s="108" t="n">
        <f aca="false">ROUND(F43*'② 국가별 파트너 설정'!$C$14,0)</f>
        <v>2</v>
      </c>
      <c r="G44" s="108" t="n">
        <f aca="false">ROUND(G43*'② 국가별 파트너 설정'!$C$14,0)</f>
        <v>3</v>
      </c>
      <c r="H44" s="108" t="n">
        <f aca="false">ROUND(H43*'② 국가별 파트너 설정'!$C$14,0)</f>
        <v>4</v>
      </c>
      <c r="I44" s="108" t="n">
        <f aca="false">ROUND(I43*'② 국가별 파트너 설정'!$C$14,0)</f>
        <v>4</v>
      </c>
      <c r="J44" s="108" t="n">
        <f aca="false">ROUND(J43*'② 국가별 파트너 설정'!$C$14,0)</f>
        <v>5</v>
      </c>
      <c r="K44" s="108" t="n">
        <f aca="false">ROUND(K43*'② 국가별 파트너 설정'!$C$14,0)</f>
        <v>5</v>
      </c>
      <c r="L44" s="108" t="n">
        <f aca="false">ROUND(L43*'② 국가별 파트너 설정'!$C$14,0)</f>
        <v>6</v>
      </c>
      <c r="M44" s="108" t="n">
        <f aca="false">ROUND(M43*'② 국가별 파트너 설정'!$C$14,0)</f>
        <v>7</v>
      </c>
      <c r="N44" s="108" t="n">
        <f aca="false">ROUND(N43*'② 국가별 파트너 설정'!$C$14,0)</f>
        <v>7</v>
      </c>
      <c r="O44" s="45" t="n">
        <f aca="false">ROUND(N43*'② 국가별 파트너 설정'!$C$14,0)</f>
        <v>7</v>
      </c>
    </row>
    <row r="45" customFormat="false" ht="15" hidden="false" customHeight="false" outlineLevel="0" collapsed="false">
      <c r="B45" s="91" t="s">
        <v>138</v>
      </c>
      <c r="C45" s="67" t="n">
        <f aca="false">(C44*'② 국가별 파트너 설정'!$C$15+(C43-C44)*0.375*'② 국가별 파트너 설정'!$C$16+(C43-C44)*0.625*'② 국가별 파트너 설정'!$C$17)*('② 국가별 파트너 설정'!$E$6+'② 국가별 파트너 설정'!$C$11*'② 국가별 파트너 설정'!$E$7+'② 국가별 파트너 설정'!$C$12*'② 국가별 파트너 설정'!$E$8)</f>
        <v>586.1667675</v>
      </c>
      <c r="D45" s="67" t="n">
        <f aca="false">(D44*'② 국가별 파트너 설정'!$C$15+(D43-D44)*0.375*'② 국가별 파트너 설정'!$C$16+(D43-D44)*0.625*'② 국가별 파트너 설정'!$C$17)*('② 국가별 파트너 설정'!$E$6+'② 국가별 파트너 설정'!$C$11*'② 국가별 파트너 설정'!$E$7+'② 국가별 파트너 설정'!$C$12*'② 국가별 파트너 설정'!$E$8)</f>
        <v>753.11299875</v>
      </c>
      <c r="E45" s="67" t="n">
        <f aca="false">(E44*'② 국가별 파트너 설정'!$C$15+(E43-E44)*0.375*'② 국가별 파트너 설정'!$C$16+(E43-E44)*0.625*'② 국가별 파트너 설정'!$C$17)*('② 국가별 파트너 설정'!$E$6+'② 국가별 파트너 설정'!$C$11*'② 국가별 파트너 설정'!$E$7+'② 국가별 파트너 설정'!$C$12*'② 국가별 파트너 설정'!$E$8)</f>
        <v>1339.27976625</v>
      </c>
      <c r="F45" s="67" t="n">
        <f aca="false">(F44*'② 국가별 파트너 설정'!$C$15+(F43-F44)*0.375*'② 국가별 파트너 설정'!$C$16+(F43-F44)*0.625*'② 국가별 파트너 설정'!$C$17)*('② 국가별 파트너 설정'!$E$6+'② 국가별 파트너 설정'!$C$11*'② 국가별 파트너 설정'!$E$7+'② 국가별 파트너 설정'!$C$12*'② 국가별 파트너 설정'!$E$8)</f>
        <v>1506.2259975</v>
      </c>
      <c r="G45" s="67" t="n">
        <f aca="false">(G44*'② 국가별 파트너 설정'!$C$15+(G43-G44)*0.375*'② 국가별 파트너 설정'!$C$16+(G43-G44)*0.625*'② 국가별 파트너 설정'!$C$17)*('② 국가별 파트너 설정'!$E$6+'② 국가별 파트너 설정'!$C$11*'② 국가별 파트너 설정'!$E$7+'② 국가별 파트너 설정'!$C$12*'② 국가별 파트너 설정'!$E$8)</f>
        <v>2092.392765</v>
      </c>
      <c r="H45" s="67" t="n">
        <f aca="false">(H44*'② 국가별 파트너 설정'!$C$15+(H43-H44)*0.375*'② 국가별 파트너 설정'!$C$16+(H43-H44)*0.625*'② 국가별 파트너 설정'!$C$17)*('② 국가별 파트너 설정'!$E$6+'② 국가별 파트너 설정'!$C$11*'② 국가별 파트너 설정'!$E$7+'② 국가별 파트너 설정'!$C$12*'② 국가별 파트너 설정'!$E$8)</f>
        <v>2678.5595325</v>
      </c>
      <c r="I45" s="67" t="n">
        <f aca="false">(I44*'② 국가별 파트너 설정'!$C$15+(I43-I44)*0.375*'② 국가별 파트너 설정'!$C$16+(I43-I44)*0.625*'② 국가별 파트너 설정'!$C$17)*('② 국가별 파트너 설정'!$E$6+'② 국가별 파트너 설정'!$C$11*'② 국가별 파트너 설정'!$E$7+'② 국가별 파트너 설정'!$C$12*'② 국가별 파트너 설정'!$E$8)</f>
        <v>2845.50576375</v>
      </c>
      <c r="J45" s="67" t="n">
        <f aca="false">(J44*'② 국가별 파트너 설정'!$C$15+(J43-J44)*0.375*'② 국가별 파트너 설정'!$C$16+(J43-J44)*0.625*'② 국가별 파트너 설정'!$C$17)*('② 국가별 파트너 설정'!$E$6+'② 국가별 파트너 설정'!$C$11*'② 국가별 파트너 설정'!$E$7+'② 국가별 파트너 설정'!$C$12*'② 국가별 파트너 설정'!$E$8)</f>
        <v>3431.67253125</v>
      </c>
      <c r="K45" s="67" t="n">
        <f aca="false">(K44*'② 국가별 파트너 설정'!$C$15+(K43-K44)*0.375*'② 국가별 파트너 설정'!$C$16+(K43-K44)*0.625*'② 국가별 파트너 설정'!$C$17)*('② 국가별 파트너 설정'!$E$6+'② 국가별 파트너 설정'!$C$11*'② 국가별 파트너 설정'!$E$7+'② 국가별 파트너 설정'!$C$12*'② 국가별 파트너 설정'!$E$8)</f>
        <v>3598.6187625</v>
      </c>
      <c r="L45" s="67" t="n">
        <f aca="false">(L44*'② 국가별 파트너 설정'!$C$15+(L43-L44)*0.375*'② 국가별 파트너 설정'!$C$16+(L43-L44)*0.625*'② 국가별 파트너 설정'!$C$17)*('② 국가별 파트너 설정'!$E$6+'② 국가별 파트너 설정'!$C$11*'② 국가별 파트너 설정'!$E$7+'② 국가별 파트너 설정'!$C$12*'② 국가별 파트너 설정'!$E$8)</f>
        <v>4184.78553</v>
      </c>
      <c r="M45" s="67" t="n">
        <f aca="false">(M44*'② 국가별 파트너 설정'!$C$15+(M43-M44)*0.375*'② 국가별 파트너 설정'!$C$16+(M43-M44)*0.625*'② 국가별 파트너 설정'!$C$17)*('② 국가별 파트너 설정'!$E$6+'② 국가별 파트너 설정'!$C$11*'② 국가별 파트너 설정'!$E$7+'② 국가별 파트너 설정'!$C$12*'② 국가별 파트너 설정'!$E$8)</f>
        <v>4770.9522975</v>
      </c>
      <c r="N45" s="67" t="n">
        <f aca="false">(N44*'② 국가별 파트너 설정'!$C$15+(N43-N44)*0.375*'② 국가별 파트너 설정'!$C$16+(N43-N44)*0.625*'② 국가별 파트너 설정'!$C$17)*('② 국가별 파트너 설정'!$E$6+'② 국가별 파트너 설정'!$C$11*'② 국가별 파트너 설정'!$E$7+'② 국가별 파트너 설정'!$C$12*'② 국가별 파트너 설정'!$E$8)</f>
        <v>4937.89852875</v>
      </c>
      <c r="O45" s="88" t="n">
        <f aca="false">SUM(C45:N45)</f>
        <v>32725.17124125</v>
      </c>
    </row>
    <row r="46" customFormat="false" ht="15" hidden="false" customHeight="false" outlineLevel="0" collapsed="false">
      <c r="B46" s="41" t="s">
        <v>139</v>
      </c>
      <c r="C46" s="126" t="n">
        <f aca="false">C45*'② 국가별 파트너 설정'!$C$13</f>
        <v>820633.4745</v>
      </c>
      <c r="D46" s="126" t="n">
        <f aca="false">D45*'② 국가별 파트너 설정'!$C$13</f>
        <v>1054358.19825</v>
      </c>
      <c r="E46" s="126" t="n">
        <f aca="false">E45*'② 국가별 파트너 설정'!$C$13</f>
        <v>1874991.67275</v>
      </c>
      <c r="F46" s="126" t="n">
        <f aca="false">F45*'② 국가별 파트너 설정'!$C$13</f>
        <v>2108716.3965</v>
      </c>
      <c r="G46" s="126" t="n">
        <f aca="false">G45*'② 국가별 파트너 설정'!$C$13</f>
        <v>2929349.871</v>
      </c>
      <c r="H46" s="126" t="n">
        <f aca="false">H45*'② 국가별 파트너 설정'!$C$13</f>
        <v>3749983.3455</v>
      </c>
      <c r="I46" s="126" t="n">
        <f aca="false">I45*'② 국가별 파트너 설정'!$C$13</f>
        <v>3983708.06925</v>
      </c>
      <c r="J46" s="126" t="n">
        <f aca="false">J45*'② 국가별 파트너 설정'!$C$13</f>
        <v>4804341.54375</v>
      </c>
      <c r="K46" s="126" t="n">
        <f aca="false">K45*'② 국가별 파트너 설정'!$C$13</f>
        <v>5038066.2675</v>
      </c>
      <c r="L46" s="126" t="n">
        <f aca="false">L45*'② 국가별 파트너 설정'!$C$13</f>
        <v>5858699.742</v>
      </c>
      <c r="M46" s="126" t="n">
        <f aca="false">M45*'② 국가별 파트너 설정'!$C$13</f>
        <v>6679333.2165</v>
      </c>
      <c r="N46" s="126" t="n">
        <f aca="false">N45*'② 국가별 파트너 설정'!$C$13</f>
        <v>6913057.94025</v>
      </c>
      <c r="O46" s="110" t="n">
        <f aca="false">SUM(C46:N46)</f>
        <v>45815239.73775</v>
      </c>
    </row>
    <row r="48" customFormat="false" ht="18" hidden="false" customHeight="true" outlineLevel="0" collapsed="false">
      <c r="B48" s="57" t="s">
        <v>146</v>
      </c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</row>
    <row r="49" customFormat="false" ht="15" hidden="false" customHeight="false" outlineLevel="0" collapsed="false">
      <c r="B49" s="3" t="s">
        <v>73</v>
      </c>
      <c r="C49" s="4" t="s">
        <v>122</v>
      </c>
      <c r="D49" s="4" t="s">
        <v>123</v>
      </c>
      <c r="E49" s="4" t="s">
        <v>124</v>
      </c>
      <c r="F49" s="4" t="s">
        <v>125</v>
      </c>
      <c r="G49" s="4" t="s">
        <v>126</v>
      </c>
      <c r="H49" s="4" t="s">
        <v>127</v>
      </c>
      <c r="I49" s="4" t="s">
        <v>128</v>
      </c>
      <c r="J49" s="4" t="s">
        <v>129</v>
      </c>
      <c r="K49" s="4" t="s">
        <v>130</v>
      </c>
      <c r="L49" s="4" t="s">
        <v>131</v>
      </c>
      <c r="M49" s="4" t="s">
        <v>132</v>
      </c>
      <c r="N49" s="4" t="s">
        <v>133</v>
      </c>
      <c r="O49" s="3" t="s">
        <v>134</v>
      </c>
    </row>
    <row r="50" customFormat="false" ht="15" hidden="false" customHeight="false" outlineLevel="0" collapsed="false">
      <c r="B50" s="43" t="s">
        <v>147</v>
      </c>
      <c r="C50" s="89" t="n">
        <f aca="false">C10+C16+C22+C28+C34+C40+C46</f>
        <v>11327858.27775</v>
      </c>
      <c r="D50" s="89" t="n">
        <f aca="false">D10+D16+D22+D28+D34+D40+D46</f>
        <v>21481899.054</v>
      </c>
      <c r="E50" s="89" t="n">
        <f aca="false">E10+E16+E22+E28+E34+E40+E46</f>
        <v>32222848.581</v>
      </c>
      <c r="F50" s="89" t="n">
        <f aca="false">F10+F16+F22+F28+F34+F40+F46</f>
        <v>42376889.35725</v>
      </c>
      <c r="G50" s="89" t="n">
        <f aca="false">G10+G16+G22+G28+G34+G40+G46</f>
        <v>53704747.635</v>
      </c>
      <c r="H50" s="89" t="n">
        <f aca="false">H10+H16+H22+H28+H34+H40+H46</f>
        <v>65032605.91275</v>
      </c>
      <c r="I50" s="89" t="n">
        <f aca="false">I10+I16+I22+I28+I34+I40+I46</f>
        <v>75186646.689</v>
      </c>
      <c r="J50" s="89" t="n">
        <f aca="false">J10+J16+J22+J28+J34+J40+J46</f>
        <v>85927596.216</v>
      </c>
      <c r="K50" s="89" t="n">
        <f aca="false">K10+K16+K22+K28+K34+K40+K46</f>
        <v>96081636.99225</v>
      </c>
      <c r="L50" s="89" t="n">
        <f aca="false">L10+L16+L22+L28+L34+L40+L46</f>
        <v>107409495.27</v>
      </c>
      <c r="M50" s="89" t="n">
        <f aca="false">M10+M16+M22+M28+M34+M40+M46</f>
        <v>118737353.54775</v>
      </c>
      <c r="N50" s="89" t="n">
        <f aca="false">N10+N16+N22+N28+N34+N40+N46</f>
        <v>128891394.324</v>
      </c>
      <c r="O50" s="110" t="n">
        <f aca="false">SUM(C50:N50)</f>
        <v>838380971.85675</v>
      </c>
    </row>
    <row r="51" customFormat="false" ht="15" hidden="false" customHeight="false" outlineLevel="0" collapsed="false">
      <c r="B51" s="127" t="s">
        <v>148</v>
      </c>
      <c r="C51" s="110" t="n">
        <f aca="false">C50</f>
        <v>11327858.27775</v>
      </c>
      <c r="D51" s="110" t="n">
        <f aca="false">C51+D50</f>
        <v>32809757.33175</v>
      </c>
      <c r="E51" s="110" t="n">
        <f aca="false">D51+E50</f>
        <v>65032605.91275</v>
      </c>
      <c r="F51" s="110" t="n">
        <f aca="false">E51+F50</f>
        <v>107409495.27</v>
      </c>
      <c r="G51" s="110" t="n">
        <f aca="false">F51+G50</f>
        <v>161114242.905</v>
      </c>
      <c r="H51" s="110" t="n">
        <f aca="false">G51+H50</f>
        <v>226146848.81775</v>
      </c>
      <c r="I51" s="110" t="n">
        <f aca="false">H51+I50</f>
        <v>301333495.50675</v>
      </c>
      <c r="J51" s="110" t="n">
        <f aca="false">I51+J50</f>
        <v>387261091.72275</v>
      </c>
      <c r="K51" s="110" t="n">
        <f aca="false">J51+K50</f>
        <v>483342728.715</v>
      </c>
      <c r="L51" s="110" t="n">
        <f aca="false">K51+L50</f>
        <v>590752223.985</v>
      </c>
      <c r="M51" s="110" t="n">
        <f aca="false">L51+M50</f>
        <v>709489577.53275</v>
      </c>
      <c r="N51" s="110" t="n">
        <f aca="false">M51+N50</f>
        <v>838380971.85675</v>
      </c>
      <c r="O51" s="89" t="n">
        <f aca="false">N51</f>
        <v>838380971.85675</v>
      </c>
    </row>
  </sheetData>
  <mergeCells count="11">
    <mergeCell ref="B1:P1"/>
    <mergeCell ref="B2:P2"/>
    <mergeCell ref="B4:P4"/>
    <mergeCell ref="B6:P6"/>
    <mergeCell ref="B12:P12"/>
    <mergeCell ref="B18:P18"/>
    <mergeCell ref="B24:P24"/>
    <mergeCell ref="B30:P30"/>
    <mergeCell ref="B36:P36"/>
    <mergeCell ref="B42:P42"/>
    <mergeCell ref="B48:P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7" min="3" style="0" width="16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31.5" hidden="false" customHeight="true" outlineLevel="0" collapsed="false">
      <c r="B1" s="56" t="s">
        <v>149</v>
      </c>
      <c r="C1" s="56"/>
      <c r="D1" s="56"/>
      <c r="E1" s="56"/>
      <c r="F1" s="56"/>
      <c r="G1" s="56"/>
      <c r="H1" s="56"/>
      <c r="I1" s="56"/>
      <c r="J1" s="56"/>
      <c r="K1" s="56"/>
      <c r="L1" s="56"/>
    </row>
    <row r="2" customFormat="false" ht="18" hidden="false" customHeight="true" outlineLevel="0" collapsed="false">
      <c r="B2" s="57" t="s">
        <v>150</v>
      </c>
      <c r="C2" s="57"/>
      <c r="D2" s="57"/>
      <c r="E2" s="57"/>
      <c r="F2" s="57"/>
      <c r="G2" s="57"/>
      <c r="H2" s="57"/>
      <c r="I2" s="57"/>
      <c r="J2" s="57"/>
      <c r="K2" s="57"/>
      <c r="L2" s="57"/>
    </row>
    <row r="3" customFormat="false" ht="6" hidden="false" customHeight="true" outlineLevel="0" collapsed="false"/>
    <row r="4" customFormat="false" ht="18" hidden="false" customHeight="true" outlineLevel="0" collapsed="false">
      <c r="B4" s="57" t="s">
        <v>151</v>
      </c>
      <c r="C4" s="57"/>
      <c r="D4" s="57"/>
      <c r="E4" s="57"/>
      <c r="F4" s="57"/>
      <c r="G4" s="57"/>
      <c r="H4" s="57"/>
      <c r="I4" s="57"/>
      <c r="J4" s="57"/>
      <c r="K4" s="57"/>
      <c r="L4" s="57"/>
    </row>
    <row r="5" customFormat="false" ht="29.85" hidden="false" customHeight="false" outlineLevel="0" collapsed="false">
      <c r="B5" s="3" t="s">
        <v>2</v>
      </c>
      <c r="C5" s="4" t="s">
        <v>152</v>
      </c>
      <c r="D5" s="4" t="s">
        <v>153</v>
      </c>
      <c r="E5" s="4" t="s">
        <v>154</v>
      </c>
      <c r="F5" s="4" t="s">
        <v>155</v>
      </c>
      <c r="G5" s="3" t="s">
        <v>156</v>
      </c>
      <c r="H5" s="3" t="s">
        <v>157</v>
      </c>
      <c r="I5" s="3" t="s">
        <v>158</v>
      </c>
    </row>
    <row r="6" customFormat="false" ht="25.5" hidden="false" customHeight="true" outlineLevel="0" collapsed="false">
      <c r="B6" s="5" t="s">
        <v>13</v>
      </c>
      <c r="C6" s="13" t="n">
        <f aca="false">'③ 12개월 성장 시뮬'!N7</f>
        <v>204</v>
      </c>
      <c r="D6" s="68" t="n">
        <f aca="false">'③ 12개월 성장 시뮬'!C10</f>
        <v>3085166.3535</v>
      </c>
      <c r="E6" s="68" t="n">
        <f aca="false">'③ 12개월 성장 시뮬'!H10</f>
        <v>19684815.6225</v>
      </c>
      <c r="F6" s="68" t="n">
        <f aca="false">'③ 12개월 성장 시뮬'!N10</f>
        <v>39956539.99575</v>
      </c>
      <c r="G6" s="68" t="n">
        <f aca="false">SUM('③ 12개월 성장 시뮬'!C10:N10)</f>
        <v>258837146.84625</v>
      </c>
      <c r="H6" s="69" t="n">
        <f aca="false">G6/G$13</f>
        <v>0.308734519908064</v>
      </c>
      <c r="I6" s="68" t="n">
        <f aca="false">IF(C6&gt;0,G6/C6,0)</f>
        <v>1268809.54336397</v>
      </c>
    </row>
    <row r="7" customFormat="false" ht="25.5" hidden="false" customHeight="true" outlineLevel="0" collapsed="false">
      <c r="B7" s="15" t="s">
        <v>18</v>
      </c>
      <c r="C7" s="13" t="n">
        <f aca="false">'③ 12개월 성장 시뮬'!N13</f>
        <v>156</v>
      </c>
      <c r="D7" s="68" t="n">
        <f aca="false">'③ 12개월 성장 시뮬'!C16</f>
        <v>2773533.3885</v>
      </c>
      <c r="E7" s="68" t="n">
        <f aca="false">'③ 12개월 성장 시뮬'!H16</f>
        <v>15467382.8295</v>
      </c>
      <c r="F7" s="68" t="n">
        <f aca="false">'③ 12개월 성장 시뮬'!N16</f>
        <v>30347856.90825</v>
      </c>
      <c r="G7" s="68" t="n">
        <f aca="false">SUM('③ 12개월 성장 시뮬'!C16:N16)</f>
        <v>198141433.02975</v>
      </c>
      <c r="H7" s="69" t="n">
        <f aca="false">G7/G$13</f>
        <v>0.236338179993433</v>
      </c>
      <c r="I7" s="68" t="n">
        <f aca="false">IF(C7&gt;0,G7/C7,0)</f>
        <v>1270137.39121635</v>
      </c>
    </row>
    <row r="8" customFormat="false" ht="25.5" hidden="false" customHeight="true" outlineLevel="0" collapsed="false">
      <c r="B8" s="17" t="s">
        <v>22</v>
      </c>
      <c r="C8" s="22" t="n">
        <f aca="false">'③ 12개월 성장 시뮬'!N19</f>
        <v>84</v>
      </c>
      <c r="D8" s="72" t="n">
        <f aca="false">'③ 12개월 성장 시뮬'!C22</f>
        <v>1132266.4395</v>
      </c>
      <c r="E8" s="72" t="n">
        <f aca="false">'③ 12개월 성장 시뮬'!H22</f>
        <v>7967416.1385</v>
      </c>
      <c r="F8" s="72" t="n">
        <f aca="false">'③ 12개월 성장 시뮬'!N22</f>
        <v>16521741.02775</v>
      </c>
      <c r="G8" s="72" t="n">
        <f aca="false">SUM('③ 12개월 성장 시뮬'!C22:N22)</f>
        <v>106510953.55425</v>
      </c>
      <c r="H8" s="73" t="n">
        <f aca="false">G8/G$13</f>
        <v>0.127043619940898</v>
      </c>
      <c r="I8" s="72" t="n">
        <f aca="false">IF(C8&gt;0,G8/C8,0)</f>
        <v>1267987.5423125</v>
      </c>
    </row>
    <row r="9" customFormat="false" ht="25.5" hidden="false" customHeight="true" outlineLevel="0" collapsed="false">
      <c r="B9" s="23" t="s">
        <v>159</v>
      </c>
      <c r="C9" s="28" t="n">
        <f aca="false">'③ 12개월 성장 시뮬'!N25</f>
        <v>96</v>
      </c>
      <c r="D9" s="76" t="n">
        <f aca="false">'③ 12개월 성장 시뮬'!C28</f>
        <v>1797083.4315</v>
      </c>
      <c r="E9" s="76" t="n">
        <f aca="false">'③ 12개월 성장 시뮬'!H28</f>
        <v>9608683.0875</v>
      </c>
      <c r="F9" s="76" t="n">
        <f aca="false">'③ 12개월 성장 시뮬'!N28</f>
        <v>18630457.42425</v>
      </c>
      <c r="G9" s="76" t="n">
        <f aca="false">SUM('③ 12개월 성장 시뮬'!C28:N28)</f>
        <v>121978336.38375</v>
      </c>
      <c r="H9" s="77" t="n">
        <f aca="false">G9/G$13</f>
        <v>0.14549273000985</v>
      </c>
      <c r="I9" s="76" t="n">
        <f aca="false">IF(C9&gt;0,G9/C9,0)</f>
        <v>1270607.67066406</v>
      </c>
    </row>
    <row r="10" customFormat="false" ht="25.5" hidden="false" customHeight="true" outlineLevel="0" collapsed="false">
      <c r="B10" s="29" t="s">
        <v>27</v>
      </c>
      <c r="C10" s="34" t="n">
        <f aca="false">'③ 12개월 성장 시뮬'!N31</f>
        <v>48</v>
      </c>
      <c r="D10" s="80" t="n">
        <f aca="false">'③ 12개월 성장 시뮬'!C34</f>
        <v>898541.71575</v>
      </c>
      <c r="E10" s="80" t="n">
        <f aca="false">'③ 12개월 성장 시뮬'!H34</f>
        <v>4804341.54375</v>
      </c>
      <c r="F10" s="80" t="n">
        <f aca="false">'③ 12개월 성장 시뮬'!N34</f>
        <v>9608683.0875</v>
      </c>
      <c r="G10" s="80" t="n">
        <f aca="false">SUM('③ 12개월 성장 시뮬'!C34:N34)</f>
        <v>61282622.56725</v>
      </c>
      <c r="H10" s="81" t="n">
        <f aca="false">G10/G$13</f>
        <v>0.0730963900952192</v>
      </c>
      <c r="I10" s="80" t="n">
        <f aca="false">IF(C10&gt;0,G10/C10,0)</f>
        <v>1276721.30348438</v>
      </c>
    </row>
    <row r="11" customFormat="false" ht="25.5" hidden="false" customHeight="true" outlineLevel="0" collapsed="false">
      <c r="B11" s="35" t="s">
        <v>30</v>
      </c>
      <c r="C11" s="40" t="n">
        <f aca="false">'③ 12개월 성장 시뮬'!N37</f>
        <v>36</v>
      </c>
      <c r="D11" s="84" t="n">
        <f aca="false">'③ 12개월 성장 시뮬'!C40</f>
        <v>820633.4745</v>
      </c>
      <c r="E11" s="84" t="n">
        <f aca="false">'③ 12개월 성장 시뮬'!H40</f>
        <v>3749983.3455</v>
      </c>
      <c r="F11" s="84" t="n">
        <f aca="false">'③ 12개월 성장 시뮬'!N40</f>
        <v>6913057.94025</v>
      </c>
      <c r="G11" s="84" t="n">
        <f aca="false">SUM('③ 12개월 성장 시뮬'!C40:N40)</f>
        <v>45815239.73775</v>
      </c>
      <c r="H11" s="85" t="n">
        <f aca="false">G11/G$13</f>
        <v>0.0546472800262674</v>
      </c>
      <c r="I11" s="84" t="n">
        <f aca="false">IF(C11&gt;0,G11/C11,0)</f>
        <v>1272645.54827083</v>
      </c>
    </row>
    <row r="12" customFormat="false" ht="25.5" hidden="false" customHeight="true" outlineLevel="0" collapsed="false">
      <c r="B12" s="41" t="s">
        <v>32</v>
      </c>
      <c r="C12" s="13" t="n">
        <f aca="false">'③ 12개월 성장 시뮬'!N43</f>
        <v>36</v>
      </c>
      <c r="D12" s="68" t="n">
        <f aca="false">'③ 12개월 성장 시뮬'!C46</f>
        <v>820633.4745</v>
      </c>
      <c r="E12" s="68" t="n">
        <f aca="false">'③ 12개월 성장 시뮬'!H46</f>
        <v>3749983.3455</v>
      </c>
      <c r="F12" s="68" t="n">
        <f aca="false">'③ 12개월 성장 시뮬'!N46</f>
        <v>6913057.94025</v>
      </c>
      <c r="G12" s="68" t="n">
        <f aca="false">SUM('③ 12개월 성장 시뮬'!C46:N46)</f>
        <v>45815239.73775</v>
      </c>
      <c r="H12" s="69" t="n">
        <f aca="false">G12/G$13</f>
        <v>0.0546472800262674</v>
      </c>
      <c r="I12" s="68" t="n">
        <f aca="false">IF(C12&gt;0,G12/C12,0)</f>
        <v>1272645.54827083</v>
      </c>
    </row>
    <row r="13" customFormat="false" ht="25.5" hidden="false" customHeight="true" outlineLevel="0" collapsed="false">
      <c r="B13" s="43" t="s">
        <v>35</v>
      </c>
      <c r="C13" s="45" t="n">
        <f aca="false">SUM(C6:C12)</f>
        <v>660</v>
      </c>
      <c r="D13" s="89" t="n">
        <f aca="false">SUM(D6:D12)</f>
        <v>11327858.27775</v>
      </c>
      <c r="E13" s="89" t="n">
        <f aca="false">SUM(E6:E12)</f>
        <v>65032605.91275</v>
      </c>
      <c r="F13" s="89" t="n">
        <f aca="false">SUM(F6:F12)</f>
        <v>128891394.324</v>
      </c>
      <c r="G13" s="89" t="n">
        <f aca="false">SUM(G6:G12)</f>
        <v>838380971.85675</v>
      </c>
      <c r="H13" s="90" t="n">
        <f aca="false">SUM(H6:H12)</f>
        <v>1</v>
      </c>
      <c r="I13" s="89" t="n">
        <f aca="false">SUM(I6:I12)</f>
        <v>8899554.54758292</v>
      </c>
    </row>
    <row r="14" customFormat="false" ht="6" hidden="false" customHeight="true" outlineLevel="0" collapsed="false"/>
    <row r="15" customFormat="false" ht="18" hidden="false" customHeight="true" outlineLevel="0" collapsed="false">
      <c r="B15" s="57" t="s">
        <v>160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</row>
    <row r="16" customFormat="false" ht="27.75" hidden="false" customHeight="true" outlineLevel="0" collapsed="false">
      <c r="B16" s="128" t="s">
        <v>161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</row>
    <row r="17" customFormat="false" ht="27.75" hidden="false" customHeight="true" outlineLevel="0" collapsed="false"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</row>
    <row r="18" customFormat="false" ht="27.75" hidden="false" customHeight="true" outlineLevel="0" collapsed="false"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</row>
    <row r="19" customFormat="false" ht="27.75" hidden="false" customHeight="true" outlineLevel="0" collapsed="false"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</row>
    <row r="20" customFormat="false" ht="27.75" hidden="false" customHeight="true" outlineLevel="0" collapsed="false"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</row>
  </sheetData>
  <mergeCells count="5">
    <mergeCell ref="B1:L1"/>
    <mergeCell ref="B2:L2"/>
    <mergeCell ref="B4:L4"/>
    <mergeCell ref="B15:L15"/>
    <mergeCell ref="B16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2026-02-22T12:39:16Z</dcterms:created>
  <dc:creator>openpyxl</dc:creator>
  <dc:description/>
  <dc:language>en-US</dc:language>
  <cp:lastModifiedBy/>
  <dcterms:modified xsi:type="dcterms:W3CDTF">2026-02-22T12:39:16Z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