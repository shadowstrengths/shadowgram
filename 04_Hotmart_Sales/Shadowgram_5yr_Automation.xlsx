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mincheol/Documents/ShiningShadow_hotmart/"/>
    </mc:Choice>
  </mc:AlternateContent>
  <xr:revisionPtr revIDLastSave="0" documentId="13_ncr:1_{89D9ADF6-21EB-174D-81EA-B18AF10AC4A1}" xr6:coauthVersionLast="47" xr6:coauthVersionMax="47" xr10:uidLastSave="{00000000-0000-0000-0000-000000000000}"/>
  <bookViews>
    <workbookView xWindow="0" yWindow="600" windowWidth="51200" windowHeight="26440" tabRatio="500" activeTab="1" xr2:uid="{00000000-000D-0000-FFFF-FFFF00000000}"/>
  </bookViews>
  <sheets>
    <sheet name="① 자동화 가정" sheetId="1" r:id="rId1"/>
    <sheet name="② 1년차 월별 시뮬" sheetId="2" r:id="rId2"/>
    <sheet name="③ 5년 연간 시뮬" sheetId="3" r:id="rId3"/>
    <sheet name="④ 60개월 캐시플로우" sheetId="4" r:id="rId4"/>
    <sheet name="⑤ ROI &amp; 손익분기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5" l="1"/>
  <c r="D17" i="3"/>
  <c r="E13" i="3"/>
  <c r="F13" i="3" s="1"/>
  <c r="G13" i="3" s="1"/>
  <c r="D13" i="3"/>
  <c r="C13" i="3"/>
  <c r="C12" i="3"/>
  <c r="D12" i="3" s="1"/>
  <c r="E12" i="3" s="1"/>
  <c r="F12" i="3" s="1"/>
  <c r="G12" i="3" s="1"/>
  <c r="D30" i="2"/>
  <c r="E30" i="2" s="1"/>
  <c r="C30" i="2"/>
  <c r="C26" i="2"/>
  <c r="D26" i="2" s="1"/>
  <c r="F22" i="2"/>
  <c r="F23" i="2" s="1"/>
  <c r="F24" i="2" s="1"/>
  <c r="E22" i="2"/>
  <c r="E23" i="2" s="1"/>
  <c r="E24" i="2" s="1"/>
  <c r="C22" i="2"/>
  <c r="D22" i="2" s="1"/>
  <c r="D19" i="2"/>
  <c r="D20" i="2" s="1"/>
  <c r="D18" i="2"/>
  <c r="E18" i="2" s="1"/>
  <c r="F18" i="2" s="1"/>
  <c r="C18" i="2"/>
  <c r="C14" i="2"/>
  <c r="C10" i="2"/>
  <c r="C6" i="2"/>
  <c r="C39" i="1"/>
  <c r="C38" i="1"/>
  <c r="C37" i="1"/>
  <c r="C36" i="1"/>
  <c r="C35" i="1"/>
  <c r="F31" i="1"/>
  <c r="E31" i="1"/>
  <c r="G30" i="1"/>
  <c r="G29" i="1"/>
  <c r="G28" i="1"/>
  <c r="G27" i="1"/>
  <c r="G26" i="1"/>
  <c r="G25" i="1"/>
  <c r="G24" i="1"/>
  <c r="F8" i="1"/>
  <c r="G8" i="1" s="1"/>
  <c r="F7" i="1"/>
  <c r="G7" i="1" s="1"/>
  <c r="F6" i="1"/>
  <c r="C19" i="2" s="1"/>
  <c r="C11" i="2" l="1"/>
  <c r="D10" i="2"/>
  <c r="F19" i="2"/>
  <c r="F20" i="2" s="1"/>
  <c r="G18" i="2"/>
  <c r="E26" i="2"/>
  <c r="D27" i="2"/>
  <c r="D28" i="2" s="1"/>
  <c r="E17" i="3"/>
  <c r="F17" i="3" s="1"/>
  <c r="G17" i="3" s="1"/>
  <c r="E19" i="2"/>
  <c r="E20" i="2" s="1"/>
  <c r="G22" i="2"/>
  <c r="C15" i="2"/>
  <c r="D14" i="2"/>
  <c r="C20" i="2"/>
  <c r="F30" i="2"/>
  <c r="E31" i="2"/>
  <c r="E32" i="2" s="1"/>
  <c r="G31" i="1"/>
  <c r="D18" i="3"/>
  <c r="D19" i="3"/>
  <c r="D20" i="3"/>
  <c r="C7" i="2"/>
  <c r="D6" i="2"/>
  <c r="D31" i="2"/>
  <c r="D32" i="2" s="1"/>
  <c r="G6" i="1"/>
  <c r="C27" i="2"/>
  <c r="D5" i="4"/>
  <c r="C23" i="2"/>
  <c r="C17" i="5"/>
  <c r="D23" i="2"/>
  <c r="D24" i="2" s="1"/>
  <c r="C31" i="2"/>
  <c r="E18" i="3" l="1"/>
  <c r="F18" i="3" s="1"/>
  <c r="G18" i="3" s="1"/>
  <c r="I18" i="3"/>
  <c r="F26" i="2"/>
  <c r="E27" i="2"/>
  <c r="E28" i="2" s="1"/>
  <c r="C28" i="2"/>
  <c r="G30" i="2"/>
  <c r="F31" i="2"/>
  <c r="F32" i="2" s="1"/>
  <c r="I17" i="3"/>
  <c r="G19" i="2"/>
  <c r="G20" i="2" s="1"/>
  <c r="H18" i="2"/>
  <c r="C32" i="2"/>
  <c r="E6" i="2"/>
  <c r="D6" i="4"/>
  <c r="D7" i="2"/>
  <c r="D8" i="2" s="1"/>
  <c r="E14" i="2"/>
  <c r="D15" i="2"/>
  <c r="D16" i="2" s="1"/>
  <c r="E10" i="2"/>
  <c r="D11" i="2"/>
  <c r="D12" i="2" s="1"/>
  <c r="C8" i="2"/>
  <c r="C16" i="2"/>
  <c r="C12" i="2"/>
  <c r="E20" i="3"/>
  <c r="F20" i="3" s="1"/>
  <c r="G20" i="3" s="1"/>
  <c r="I20" i="3"/>
  <c r="G23" i="2"/>
  <c r="G24" i="2" s="1"/>
  <c r="H22" i="2"/>
  <c r="C24" i="2"/>
  <c r="E19" i="3"/>
  <c r="F19" i="3" s="1"/>
  <c r="G19" i="3" s="1"/>
  <c r="F10" i="2" l="1"/>
  <c r="E11" i="2"/>
  <c r="E15" i="2"/>
  <c r="E16" i="2" s="1"/>
  <c r="F14" i="2"/>
  <c r="D36" i="2"/>
  <c r="H30" i="2"/>
  <c r="G31" i="2"/>
  <c r="G32" i="2" s="1"/>
  <c r="D7" i="4"/>
  <c r="F6" i="2"/>
  <c r="E7" i="2"/>
  <c r="E8" i="2" s="1"/>
  <c r="I19" i="3"/>
  <c r="C36" i="2"/>
  <c r="F27" i="2"/>
  <c r="G26" i="2"/>
  <c r="I18" i="2"/>
  <c r="H19" i="2"/>
  <c r="H23" i="2"/>
  <c r="H24" i="2" s="1"/>
  <c r="I22" i="2"/>
  <c r="H20" i="2" l="1"/>
  <c r="G6" i="2"/>
  <c r="F7" i="2"/>
  <c r="D8" i="4"/>
  <c r="J18" i="2"/>
  <c r="I19" i="2"/>
  <c r="I20" i="2" s="1"/>
  <c r="G27" i="2"/>
  <c r="G28" i="2" s="1"/>
  <c r="H26" i="2"/>
  <c r="F28" i="2"/>
  <c r="H31" i="2"/>
  <c r="H32" i="2" s="1"/>
  <c r="I30" i="2"/>
  <c r="C18" i="5"/>
  <c r="C19" i="5" s="1"/>
  <c r="E5" i="4"/>
  <c r="C37" i="2"/>
  <c r="D37" i="2" s="1"/>
  <c r="I5" i="4"/>
  <c r="J5" i="4" s="1"/>
  <c r="J6" i="4" s="1"/>
  <c r="H5" i="4"/>
  <c r="E6" i="4"/>
  <c r="I6" i="4"/>
  <c r="H6" i="4"/>
  <c r="F15" i="2"/>
  <c r="G14" i="2"/>
  <c r="J22" i="2"/>
  <c r="I23" i="2"/>
  <c r="E12" i="2"/>
  <c r="E36" i="2" s="1"/>
  <c r="G10" i="2"/>
  <c r="F11" i="2"/>
  <c r="F12" i="2" s="1"/>
  <c r="H7" i="4" l="1"/>
  <c r="I7" i="4"/>
  <c r="E7" i="4"/>
  <c r="J7" i="4"/>
  <c r="E37" i="2"/>
  <c r="F6" i="4"/>
  <c r="G6" i="4"/>
  <c r="I26" i="2"/>
  <c r="H27" i="2"/>
  <c r="H28" i="2" s="1"/>
  <c r="I24" i="2"/>
  <c r="K22" i="2"/>
  <c r="J23" i="2"/>
  <c r="J24" i="2" s="1"/>
  <c r="J19" i="2"/>
  <c r="J20" i="2" s="1"/>
  <c r="K18" i="2"/>
  <c r="G5" i="4"/>
  <c r="F5" i="4"/>
  <c r="H14" i="2"/>
  <c r="G15" i="2"/>
  <c r="G16" i="2" s="1"/>
  <c r="F8" i="2"/>
  <c r="F16" i="2"/>
  <c r="J30" i="2"/>
  <c r="I31" i="2"/>
  <c r="D9" i="4"/>
  <c r="G7" i="2"/>
  <c r="G8" i="2" s="1"/>
  <c r="H6" i="2"/>
  <c r="G11" i="2"/>
  <c r="H10" i="2"/>
  <c r="I6" i="2" l="1"/>
  <c r="H7" i="2"/>
  <c r="H8" i="2" s="1"/>
  <c r="D10" i="4"/>
  <c r="I14" i="2"/>
  <c r="H15" i="2"/>
  <c r="H16" i="2" s="1"/>
  <c r="I27" i="2"/>
  <c r="I28" i="2" s="1"/>
  <c r="J26" i="2"/>
  <c r="G36" i="2"/>
  <c r="I32" i="2"/>
  <c r="L18" i="2"/>
  <c r="K19" i="2"/>
  <c r="K30" i="2"/>
  <c r="J31" i="2"/>
  <c r="J32" i="2" s="1"/>
  <c r="K23" i="2"/>
  <c r="K24" i="2" s="1"/>
  <c r="L22" i="2"/>
  <c r="F7" i="4"/>
  <c r="G7" i="4"/>
  <c r="H11" i="2"/>
  <c r="H12" i="2" s="1"/>
  <c r="I10" i="2"/>
  <c r="G12" i="2"/>
  <c r="F36" i="2"/>
  <c r="L23" i="2" l="1"/>
  <c r="M22" i="2"/>
  <c r="I8" i="4"/>
  <c r="J8" i="4" s="1"/>
  <c r="H8" i="4"/>
  <c r="E8" i="4"/>
  <c r="H9" i="4"/>
  <c r="E9" i="4"/>
  <c r="I9" i="4"/>
  <c r="J27" i="2"/>
  <c r="K26" i="2"/>
  <c r="I11" i="2"/>
  <c r="J10" i="2"/>
  <c r="K31" i="2"/>
  <c r="L30" i="2"/>
  <c r="I15" i="2"/>
  <c r="J14" i="2"/>
  <c r="F37" i="2"/>
  <c r="G37" i="2" s="1"/>
  <c r="H37" i="2" s="1"/>
  <c r="K20" i="2"/>
  <c r="H36" i="2"/>
  <c r="M18" i="2"/>
  <c r="L19" i="2"/>
  <c r="L20" i="2" s="1"/>
  <c r="J6" i="2"/>
  <c r="D11" i="4"/>
  <c r="I7" i="2"/>
  <c r="J28" i="2" l="1"/>
  <c r="G9" i="4"/>
  <c r="F9" i="4"/>
  <c r="K14" i="2"/>
  <c r="J15" i="2"/>
  <c r="J16" i="2" s="1"/>
  <c r="I8" i="2"/>
  <c r="I16" i="2"/>
  <c r="L31" i="2"/>
  <c r="L32" i="2" s="1"/>
  <c r="M30" i="2"/>
  <c r="G8" i="4"/>
  <c r="F8" i="4"/>
  <c r="J7" i="2"/>
  <c r="J8" i="2" s="1"/>
  <c r="D12" i="4"/>
  <c r="K6" i="2"/>
  <c r="K32" i="2"/>
  <c r="K10" i="2"/>
  <c r="J11" i="2"/>
  <c r="J12" i="2" s="1"/>
  <c r="J9" i="4"/>
  <c r="N18" i="2"/>
  <c r="M19" i="2"/>
  <c r="M20" i="2" s="1"/>
  <c r="I12" i="2"/>
  <c r="N22" i="2"/>
  <c r="M23" i="2"/>
  <c r="M24" i="2" s="1"/>
  <c r="I10" i="4"/>
  <c r="H10" i="4"/>
  <c r="E10" i="4"/>
  <c r="K27" i="2"/>
  <c r="K28" i="2" s="1"/>
  <c r="L26" i="2"/>
  <c r="L24" i="2"/>
  <c r="O22" i="2" l="1"/>
  <c r="N23" i="2"/>
  <c r="D13" i="4"/>
  <c r="K7" i="2"/>
  <c r="K8" i="2" s="1"/>
  <c r="L6" i="2"/>
  <c r="I36" i="2"/>
  <c r="J36" i="2"/>
  <c r="L14" i="2"/>
  <c r="K15" i="2"/>
  <c r="K16" i="2" s="1"/>
  <c r="L27" i="2"/>
  <c r="L28" i="2" s="1"/>
  <c r="M26" i="2"/>
  <c r="O18" i="2"/>
  <c r="N19" i="2"/>
  <c r="J10" i="4"/>
  <c r="M31" i="2"/>
  <c r="M32" i="2" s="1"/>
  <c r="N30" i="2"/>
  <c r="G10" i="4"/>
  <c r="F10" i="4"/>
  <c r="L10" i="2"/>
  <c r="K11" i="2"/>
  <c r="K12" i="2" l="1"/>
  <c r="M10" i="2"/>
  <c r="L11" i="2"/>
  <c r="L12" i="2" s="1"/>
  <c r="M14" i="2"/>
  <c r="L15" i="2"/>
  <c r="L16" i="2" s="1"/>
  <c r="H12" i="4"/>
  <c r="I12" i="4"/>
  <c r="E12" i="4"/>
  <c r="O30" i="2"/>
  <c r="N31" i="2"/>
  <c r="E11" i="4"/>
  <c r="I11" i="4"/>
  <c r="H11" i="4"/>
  <c r="I37" i="2"/>
  <c r="J37" i="2" s="1"/>
  <c r="K37" i="2" s="1"/>
  <c r="D14" i="4"/>
  <c r="L7" i="2"/>
  <c r="L8" i="2" s="1"/>
  <c r="L36" i="2" s="1"/>
  <c r="M6" i="2"/>
  <c r="J11" i="4"/>
  <c r="J12" i="4" s="1"/>
  <c r="K36" i="2"/>
  <c r="O20" i="2"/>
  <c r="N20" i="2"/>
  <c r="O19" i="2"/>
  <c r="O24" i="2"/>
  <c r="N24" i="2"/>
  <c r="O23" i="2"/>
  <c r="N26" i="2"/>
  <c r="M27" i="2"/>
  <c r="M28" i="2" s="1"/>
  <c r="M7" i="2" l="1"/>
  <c r="M8" i="2" s="1"/>
  <c r="D15" i="4"/>
  <c r="N6" i="2"/>
  <c r="G12" i="4"/>
  <c r="F12" i="4"/>
  <c r="O26" i="2"/>
  <c r="N27" i="2"/>
  <c r="I14" i="4"/>
  <c r="E14" i="4"/>
  <c r="H14" i="4"/>
  <c r="L37" i="2"/>
  <c r="M15" i="2"/>
  <c r="M16" i="2" s="1"/>
  <c r="N14" i="2"/>
  <c r="M11" i="2"/>
  <c r="M12" i="2" s="1"/>
  <c r="N10" i="2"/>
  <c r="G11" i="4"/>
  <c r="F11" i="4"/>
  <c r="E13" i="4"/>
  <c r="I13" i="4"/>
  <c r="J13" i="4" s="1"/>
  <c r="J14" i="4" s="1"/>
  <c r="H13" i="4"/>
  <c r="O32" i="2"/>
  <c r="N32" i="2"/>
  <c r="O31" i="2"/>
  <c r="F13" i="4" l="1"/>
  <c r="G13" i="4"/>
  <c r="G14" i="4"/>
  <c r="F14" i="4"/>
  <c r="O28" i="2"/>
  <c r="N28" i="2"/>
  <c r="O27" i="2"/>
  <c r="N11" i="2"/>
  <c r="O10" i="2"/>
  <c r="N15" i="2"/>
  <c r="O14" i="2"/>
  <c r="N7" i="2"/>
  <c r="O6" i="2"/>
  <c r="C6" i="3"/>
  <c r="D16" i="4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M36" i="2"/>
  <c r="O12" i="2" l="1"/>
  <c r="N12" i="2"/>
  <c r="O11" i="2"/>
  <c r="I15" i="4"/>
  <c r="J15" i="4" s="1"/>
  <c r="H15" i="4"/>
  <c r="E15" i="4"/>
  <c r="M37" i="2"/>
  <c r="D6" i="3"/>
  <c r="N8" i="2"/>
  <c r="O8" i="2"/>
  <c r="O7" i="2"/>
  <c r="O16" i="2"/>
  <c r="N16" i="2"/>
  <c r="O15" i="2"/>
  <c r="E6" i="3" l="1"/>
  <c r="F15" i="4"/>
  <c r="G15" i="4"/>
  <c r="N36" i="2"/>
  <c r="E16" i="4" l="1"/>
  <c r="I16" i="4"/>
  <c r="J16" i="4" s="1"/>
  <c r="H16" i="4"/>
  <c r="O36" i="2"/>
  <c r="N37" i="2"/>
  <c r="O37" i="2" s="1"/>
  <c r="F6" i="3"/>
  <c r="G6" i="3" l="1"/>
  <c r="C7" i="3"/>
  <c r="D7" i="3" s="1"/>
  <c r="E7" i="3" s="1"/>
  <c r="F7" i="3" s="1"/>
  <c r="G7" i="3" s="1"/>
  <c r="C8" i="3"/>
  <c r="E17" i="4"/>
  <c r="G16" i="4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G34" i="4" s="1"/>
  <c r="G35" i="4" s="1"/>
  <c r="G36" i="4" s="1"/>
  <c r="G37" i="4" s="1"/>
  <c r="G38" i="4" s="1"/>
  <c r="G39" i="4" s="1"/>
  <c r="G40" i="4" s="1"/>
  <c r="G41" i="4" s="1"/>
  <c r="G42" i="4" s="1"/>
  <c r="G43" i="4" s="1"/>
  <c r="G44" i="4" s="1"/>
  <c r="G45" i="4" s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G56" i="4" s="1"/>
  <c r="G57" i="4" s="1"/>
  <c r="G58" i="4" s="1"/>
  <c r="G59" i="4" s="1"/>
  <c r="G60" i="4" s="1"/>
  <c r="G61" i="4" s="1"/>
  <c r="G62" i="4" s="1"/>
  <c r="G63" i="4" s="1"/>
  <c r="G64" i="4" s="1"/>
  <c r="F16" i="4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H17" i="4" l="1"/>
  <c r="I17" i="4" s="1"/>
  <c r="J17" i="4" s="1"/>
  <c r="E18" i="4"/>
  <c r="C20" i="5"/>
  <c r="C10" i="3"/>
  <c r="C11" i="3" s="1"/>
  <c r="D8" i="3"/>
  <c r="C9" i="3"/>
  <c r="D9" i="3" s="1"/>
  <c r="E8" i="3" l="1"/>
  <c r="D10" i="3"/>
  <c r="D11" i="3" s="1"/>
  <c r="C25" i="5"/>
  <c r="C21" i="5"/>
  <c r="E19" i="4"/>
  <c r="H18" i="4"/>
  <c r="I18" i="4" s="1"/>
  <c r="J18" i="4"/>
  <c r="E20" i="4" l="1"/>
  <c r="H19" i="4"/>
  <c r="I19" i="4" s="1"/>
  <c r="J19" i="4" s="1"/>
  <c r="F8" i="3"/>
  <c r="E10" i="3"/>
  <c r="E11" i="3" s="1"/>
  <c r="E9" i="3"/>
  <c r="F9" i="3" s="1"/>
  <c r="F10" i="3" l="1"/>
  <c r="F11" i="3" s="1"/>
  <c r="G8" i="3"/>
  <c r="G10" i="3" s="1"/>
  <c r="G11" i="3" s="1"/>
  <c r="H20" i="4"/>
  <c r="I20" i="4" s="1"/>
  <c r="J20" i="4" s="1"/>
  <c r="E21" i="4"/>
  <c r="E22" i="4" l="1"/>
  <c r="H21" i="4"/>
  <c r="I21" i="4" s="1"/>
  <c r="J21" i="4" s="1"/>
  <c r="G9" i="3"/>
  <c r="C22" i="5" s="1"/>
  <c r="C23" i="5" s="1"/>
  <c r="E23" i="4" l="1"/>
  <c r="H22" i="4"/>
  <c r="I22" i="4" s="1"/>
  <c r="J22" i="4" s="1"/>
  <c r="H23" i="4" l="1"/>
  <c r="I23" i="4" s="1"/>
  <c r="J23" i="4" s="1"/>
  <c r="E24" i="4"/>
  <c r="E25" i="4" l="1"/>
  <c r="H24" i="4"/>
  <c r="I24" i="4" s="1"/>
  <c r="J24" i="4" s="1"/>
  <c r="E26" i="4" l="1"/>
  <c r="H25" i="4"/>
  <c r="I25" i="4" s="1"/>
  <c r="J25" i="4" s="1"/>
  <c r="H26" i="4" l="1"/>
  <c r="I26" i="4" s="1"/>
  <c r="J26" i="4" s="1"/>
  <c r="E27" i="4"/>
  <c r="H27" i="4" l="1"/>
  <c r="I27" i="4" s="1"/>
  <c r="J27" i="4" s="1"/>
  <c r="E28" i="4"/>
  <c r="H28" i="4" l="1"/>
  <c r="I28" i="4" s="1"/>
  <c r="J28" i="4" s="1"/>
  <c r="E29" i="4"/>
  <c r="E30" i="4" l="1"/>
  <c r="H29" i="4"/>
  <c r="I29" i="4" s="1"/>
  <c r="J29" i="4" s="1"/>
  <c r="H30" i="4" l="1"/>
  <c r="I30" i="4" s="1"/>
  <c r="J30" i="4" s="1"/>
  <c r="E31" i="4"/>
  <c r="J31" i="4" l="1"/>
  <c r="H31" i="4"/>
  <c r="I31" i="4" s="1"/>
  <c r="E32" i="4"/>
  <c r="J32" i="4" l="1"/>
  <c r="E33" i="4"/>
  <c r="H32" i="4"/>
  <c r="I32" i="4" s="1"/>
  <c r="J33" i="4" l="1"/>
  <c r="E34" i="4"/>
  <c r="H33" i="4"/>
  <c r="I33" i="4" s="1"/>
  <c r="J34" i="4" l="1"/>
  <c r="H34" i="4"/>
  <c r="I34" i="4" s="1"/>
  <c r="E35" i="4"/>
  <c r="J35" i="4" l="1"/>
  <c r="E36" i="4"/>
  <c r="H35" i="4"/>
  <c r="I35" i="4" s="1"/>
  <c r="J36" i="4" l="1"/>
  <c r="E37" i="4"/>
  <c r="H36" i="4"/>
  <c r="I36" i="4" s="1"/>
  <c r="J37" i="4" l="1"/>
  <c r="H37" i="4"/>
  <c r="I37" i="4" s="1"/>
  <c r="E38" i="4"/>
  <c r="J38" i="4" l="1"/>
  <c r="E39" i="4"/>
  <c r="H38" i="4"/>
  <c r="I38" i="4" s="1"/>
  <c r="J39" i="4" l="1"/>
  <c r="H39" i="4"/>
  <c r="I39" i="4" s="1"/>
  <c r="E40" i="4"/>
  <c r="E41" i="4" l="1"/>
  <c r="H40" i="4"/>
  <c r="I40" i="4" s="1"/>
  <c r="J40" i="4" s="1"/>
  <c r="H41" i="4" l="1"/>
  <c r="I41" i="4" s="1"/>
  <c r="J41" i="4" s="1"/>
  <c r="E42" i="4"/>
  <c r="H42" i="4" l="1"/>
  <c r="I42" i="4" s="1"/>
  <c r="J42" i="4" s="1"/>
  <c r="E43" i="4"/>
  <c r="E44" i="4" l="1"/>
  <c r="H43" i="4"/>
  <c r="I43" i="4" s="1"/>
  <c r="J43" i="4" s="1"/>
  <c r="E45" i="4" l="1"/>
  <c r="H44" i="4"/>
  <c r="I44" i="4" s="1"/>
  <c r="J44" i="4" s="1"/>
  <c r="E46" i="4" l="1"/>
  <c r="H45" i="4"/>
  <c r="I45" i="4" s="1"/>
  <c r="J45" i="4" s="1"/>
  <c r="E47" i="4" l="1"/>
  <c r="H46" i="4"/>
  <c r="I46" i="4" s="1"/>
  <c r="J46" i="4" s="1"/>
  <c r="H47" i="4" l="1"/>
  <c r="I47" i="4" s="1"/>
  <c r="J47" i="4" s="1"/>
  <c r="E48" i="4"/>
  <c r="E49" i="4" l="1"/>
  <c r="H48" i="4"/>
  <c r="I48" i="4" s="1"/>
  <c r="J48" i="4" s="1"/>
  <c r="E50" i="4" l="1"/>
  <c r="H49" i="4"/>
  <c r="I49" i="4" s="1"/>
  <c r="J49" i="4" s="1"/>
  <c r="H50" i="4" l="1"/>
  <c r="I50" i="4" s="1"/>
  <c r="J50" i="4" s="1"/>
  <c r="E51" i="4"/>
  <c r="E52" i="4" l="1"/>
  <c r="H51" i="4"/>
  <c r="I51" i="4" s="1"/>
  <c r="J51" i="4" s="1"/>
  <c r="J52" i="4" l="1"/>
  <c r="E53" i="4"/>
  <c r="H52" i="4"/>
  <c r="I52" i="4" s="1"/>
  <c r="J53" i="4" l="1"/>
  <c r="H53" i="4"/>
  <c r="I53" i="4" s="1"/>
  <c r="E54" i="4"/>
  <c r="J54" i="4" l="1"/>
  <c r="E55" i="4"/>
  <c r="H54" i="4"/>
  <c r="I54" i="4" s="1"/>
  <c r="J55" i="4" l="1"/>
  <c r="E56" i="4"/>
  <c r="H55" i="4"/>
  <c r="I55" i="4" s="1"/>
  <c r="J56" i="4" l="1"/>
  <c r="E57" i="4"/>
  <c r="H56" i="4"/>
  <c r="I56" i="4" s="1"/>
  <c r="J57" i="4" l="1"/>
  <c r="H57" i="4"/>
  <c r="I57" i="4" s="1"/>
  <c r="E58" i="4"/>
  <c r="H58" i="4" l="1"/>
  <c r="I58" i="4" s="1"/>
  <c r="J58" i="4" s="1"/>
  <c r="E59" i="4"/>
  <c r="J59" i="4" l="1"/>
  <c r="E60" i="4"/>
  <c r="H59" i="4"/>
  <c r="I59" i="4" s="1"/>
  <c r="H60" i="4" l="1"/>
  <c r="I60" i="4" s="1"/>
  <c r="J60" i="4" s="1"/>
  <c r="E61" i="4"/>
  <c r="E62" i="4" l="1"/>
  <c r="H61" i="4"/>
  <c r="I61" i="4" s="1"/>
  <c r="J61" i="4" s="1"/>
  <c r="E63" i="4" l="1"/>
  <c r="H62" i="4"/>
  <c r="I62" i="4" s="1"/>
  <c r="J62" i="4" s="1"/>
  <c r="E64" i="4" l="1"/>
  <c r="H64" i="4" s="1"/>
  <c r="I64" i="4" s="1"/>
  <c r="H63" i="4"/>
  <c r="I63" i="4" s="1"/>
  <c r="J63" i="4" s="1"/>
  <c r="J64" i="4" s="1"/>
</calcChain>
</file>

<file path=xl/sharedStrings.xml><?xml version="1.0" encoding="utf-8"?>
<sst xmlns="http://schemas.openxmlformats.org/spreadsheetml/2006/main" count="295" uniqueCount="248">
  <si>
    <r>
      <rPr>
        <b/>
        <sz val="12"/>
        <color rgb="FFFFFFFF"/>
        <rFont val="Arial"/>
        <family val="2"/>
      </rPr>
      <t xml:space="preserve">⚙️ Shadowgram </t>
    </r>
    <r>
      <rPr>
        <b/>
        <sz val="12"/>
        <color rgb="FFFFFFFF"/>
        <rFont val="Noto Sans CJK KR"/>
        <family val="2"/>
      </rPr>
      <t xml:space="preserve">자동화 수익 모델 — 핵심 가정 </t>
    </r>
    <r>
      <rPr>
        <b/>
        <sz val="12"/>
        <color rgb="FFFFFFFF"/>
        <rFont val="Arial"/>
        <family val="2"/>
      </rPr>
      <t>(</t>
    </r>
    <r>
      <rPr>
        <b/>
        <sz val="12"/>
        <color rgb="FFFFFFFF"/>
        <rFont val="Noto Sans CJK KR"/>
        <family val="2"/>
      </rPr>
      <t>파란 셀만 수정</t>
    </r>
    <r>
      <rPr>
        <b/>
        <sz val="12"/>
        <color rgb="FFFFFFFF"/>
        <rFont val="Arial"/>
        <family val="2"/>
      </rPr>
      <t>)</t>
    </r>
  </si>
  <si>
    <r>
      <rPr>
        <sz val="9"/>
        <color rgb="FFFFFFFF"/>
        <rFont val="Noto Sans CJK KR"/>
        <family val="2"/>
      </rPr>
      <t xml:space="preserve">민철 씨 개입 </t>
    </r>
    <r>
      <rPr>
        <sz val="9"/>
        <color rgb="FFFFFFFF"/>
        <rFont val="Arial"/>
        <family val="2"/>
      </rPr>
      <t xml:space="preserve">= 0 | Hotmart </t>
    </r>
    <r>
      <rPr>
        <sz val="9"/>
        <color rgb="FFFFFFFF"/>
        <rFont val="Noto Sans CJK KR"/>
        <family val="2"/>
      </rPr>
      <t xml:space="preserve">자동정산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 xml:space="preserve">이메일 자동화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 xml:space="preserve">파트너 자율판매 </t>
    </r>
    <r>
      <rPr>
        <sz val="9"/>
        <color rgb="FFFFFFFF"/>
        <rFont val="Arial"/>
        <family val="2"/>
      </rPr>
      <t>| 5</t>
    </r>
    <r>
      <rPr>
        <sz val="9"/>
        <color rgb="FFFFFFFF"/>
        <rFont val="Noto Sans CJK KR"/>
        <family val="2"/>
      </rPr>
      <t>년 복리 성장</t>
    </r>
  </si>
  <si>
    <r>
      <rPr>
        <sz val="9"/>
        <color rgb="FFFFFFFF"/>
        <rFont val="Arial"/>
        <family val="2"/>
      </rPr>
      <t xml:space="preserve">📦 A. </t>
    </r>
    <r>
      <rPr>
        <sz val="9"/>
        <color rgb="FFFFFFFF"/>
        <rFont val="Noto Sans CJK KR"/>
        <family val="2"/>
      </rPr>
      <t xml:space="preserve">번들 가격 </t>
    </r>
    <r>
      <rPr>
        <sz val="9"/>
        <color rgb="FFFFFFFF"/>
        <rFont val="Arial"/>
        <family val="2"/>
      </rPr>
      <t xml:space="preserve">&amp; </t>
    </r>
    <r>
      <rPr>
        <sz val="9"/>
        <color rgb="FFFFFFFF"/>
        <rFont val="Noto Sans CJK KR"/>
        <family val="2"/>
      </rPr>
      <t>오너 수취 단가</t>
    </r>
  </si>
  <si>
    <t>번들</t>
  </si>
  <si>
    <r>
      <rPr>
        <b/>
        <sz val="10"/>
        <color rgb="FFFFFFFF"/>
        <rFont val="Noto Sans CJK KR"/>
        <family val="2"/>
      </rPr>
      <t>판매가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</si>
  <si>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Arial"/>
        <family val="2"/>
      </rPr>
      <t>Hotmart</t>
    </r>
    <r>
      <rPr>
        <b/>
        <sz val="10"/>
        <color rgb="FFFFFFFF"/>
        <rFont val="Noto Sans CJK KR"/>
        <family val="2"/>
      </rPr>
      <t>수수료</t>
    </r>
  </si>
  <si>
    <t>커미션율</t>
  </si>
  <si>
    <r>
      <rPr>
        <b/>
        <sz val="10"/>
        <color rgb="FFFFFFFF"/>
        <rFont val="Noto Sans CJK KR"/>
        <family val="2"/>
      </rPr>
      <t>오너단가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</si>
  <si>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오너단가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</si>
  <si>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Arial"/>
        <family val="2"/>
      </rPr>
      <t>T1+AppA (</t>
    </r>
    <r>
      <rPr>
        <sz val="10"/>
        <color rgb="FF000000"/>
        <rFont val="Noto Sans CJK KR"/>
        <family val="2"/>
      </rPr>
      <t>트립와이어</t>
    </r>
    <r>
      <rPr>
        <sz val="10"/>
        <color rgb="FF000000"/>
        <rFont val="Arial"/>
        <family val="2"/>
      </rPr>
      <t>)</t>
    </r>
  </si>
  <si>
    <t>T2+AppB (OTO)</t>
  </si>
  <si>
    <r>
      <rPr>
        <sz val="10"/>
        <color rgb="FF000000"/>
        <rFont val="Arial"/>
        <family val="2"/>
      </rPr>
      <t>T3+AppC (</t>
    </r>
    <r>
      <rPr>
        <sz val="10"/>
        <color rgb="FF000000"/>
        <rFont val="Noto Sans CJK KR"/>
        <family val="2"/>
      </rPr>
      <t>이메일</t>
    </r>
    <r>
      <rPr>
        <sz val="10"/>
        <color rgb="FF000000"/>
        <rFont val="Arial"/>
        <family val="2"/>
      </rPr>
      <t>)</t>
    </r>
  </si>
  <si>
    <r>
      <rPr>
        <sz val="9"/>
        <color rgb="FFFFFFFF"/>
        <rFont val="Arial"/>
        <family val="2"/>
      </rPr>
      <t xml:space="preserve">🤖 B. </t>
    </r>
    <r>
      <rPr>
        <sz val="9"/>
        <color rgb="FFFFFFFF"/>
        <rFont val="Noto Sans CJK KR"/>
        <family val="2"/>
      </rPr>
      <t xml:space="preserve">자동화 전환율 </t>
    </r>
    <r>
      <rPr>
        <sz val="9"/>
        <color rgb="FFFFFFFF"/>
        <rFont val="Arial"/>
        <family val="2"/>
      </rPr>
      <t xml:space="preserve">&amp; </t>
    </r>
    <r>
      <rPr>
        <sz val="9"/>
        <color rgb="FFFFFFFF"/>
        <rFont val="Noto Sans CJK KR"/>
        <family val="2"/>
      </rPr>
      <t>퍼널 파라미터</t>
    </r>
  </si>
  <si>
    <t>항목</t>
  </si>
  <si>
    <t>값</t>
  </si>
  <si>
    <t>설명</t>
  </si>
  <si>
    <r>
      <rPr>
        <sz val="10"/>
        <color rgb="FF000000"/>
        <rFont val="Arial"/>
        <family val="2"/>
      </rPr>
      <t xml:space="preserve">T2 OTO </t>
    </r>
    <r>
      <rPr>
        <sz val="10"/>
        <color rgb="FF000000"/>
        <rFont val="Noto Sans CJK KR"/>
        <family val="2"/>
      </rPr>
      <t xml:space="preserve">전환율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자동 팝업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</si>
  <si>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T1 </t>
    </r>
    <r>
      <rPr>
        <sz val="10"/>
        <color rgb="FF000000"/>
        <rFont val="Noto Sans CJK KR"/>
        <family val="2"/>
      </rPr>
      <t xml:space="preserve">구매 직후 자동 노출 → 평균 </t>
    </r>
    <r>
      <rPr>
        <sz val="10"/>
        <color rgb="FF000000"/>
        <rFont val="Arial"/>
        <family val="2"/>
      </rPr>
      <t xml:space="preserve">24% </t>
    </r>
    <r>
      <rPr>
        <sz val="10"/>
        <color rgb="FF000000"/>
        <rFont val="Noto Sans CJK KR"/>
        <family val="2"/>
      </rPr>
      <t>전환</t>
    </r>
  </si>
  <si>
    <r>
      <rPr>
        <sz val="10"/>
        <color rgb="FF000000"/>
        <rFont val="Arial"/>
        <family val="2"/>
      </rPr>
      <t xml:space="preserve">T3 </t>
    </r>
    <r>
      <rPr>
        <sz val="10"/>
        <color rgb="FF000000"/>
        <rFont val="Noto Sans CJK KR"/>
        <family val="2"/>
      </rPr>
      <t>이메일 자동화 전환율</t>
    </r>
  </si>
  <si>
    <r>
      <rPr>
        <sz val="10"/>
        <color rgb="FF000000"/>
        <rFont val="Noto Sans CJK KR"/>
        <family val="2"/>
      </rPr>
      <t xml:space="preserve">구매 후 </t>
    </r>
    <r>
      <rPr>
        <sz val="10"/>
        <color rgb="FF000000"/>
        <rFont val="Arial"/>
        <family val="2"/>
      </rPr>
      <t>7</t>
    </r>
    <r>
      <rPr>
        <sz val="10"/>
        <color rgb="FF000000"/>
        <rFont val="Noto Sans CJK KR"/>
        <family val="2"/>
      </rPr>
      <t>일 이메일 시퀀스 자동발송</t>
    </r>
  </si>
  <si>
    <r>
      <rPr>
        <sz val="10"/>
        <color rgb="FF000000"/>
        <rFont val="Noto Sans CJK KR"/>
        <family val="2"/>
      </rPr>
      <t xml:space="preserve">파트너 자연 유입 바이럴계수 </t>
    </r>
    <r>
      <rPr>
        <sz val="10"/>
        <color rgb="FF000000"/>
        <rFont val="Arial"/>
        <family val="2"/>
      </rPr>
      <t>K</t>
    </r>
  </si>
  <si>
    <r>
      <rPr>
        <sz val="10"/>
        <color rgb="FF000000"/>
        <rFont val="Noto Sans CJK KR"/>
        <family val="2"/>
      </rPr>
      <t xml:space="preserve">기존 파트너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 xml:space="preserve">명이 월 </t>
    </r>
    <r>
      <rPr>
        <sz val="10"/>
        <color rgb="FF000000"/>
        <rFont val="Arial"/>
        <family val="2"/>
      </rPr>
      <t>0.15</t>
    </r>
    <r>
      <rPr>
        <sz val="10"/>
        <color rgb="FF000000"/>
        <rFont val="Noto Sans CJK KR"/>
        <family val="2"/>
      </rPr>
      <t xml:space="preserve">명 신규 유입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추천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입소문</t>
    </r>
    <r>
      <rPr>
        <sz val="10"/>
        <color rgb="FF000000"/>
        <rFont val="Arial"/>
        <family val="2"/>
      </rPr>
      <t>)</t>
    </r>
  </si>
  <si>
    <t>연간 파트너 이탈율</t>
  </si>
  <si>
    <r>
      <rPr>
        <sz val="10"/>
        <color rgb="FF000000"/>
        <rFont val="Noto Sans CJK KR"/>
        <family val="2"/>
      </rPr>
      <t xml:space="preserve">비활성화 </t>
    </r>
    <r>
      <rPr>
        <sz val="10"/>
        <color rgb="FF000000"/>
        <rFont val="Arial"/>
        <family val="2"/>
      </rPr>
      <t>20%/</t>
    </r>
    <r>
      <rPr>
        <sz val="10"/>
        <color rgb="FF000000"/>
        <rFont val="Noto Sans CJK KR"/>
        <family val="2"/>
      </rPr>
      <t>년 → 자동 제거 기준</t>
    </r>
  </si>
  <si>
    <r>
      <rPr>
        <sz val="10"/>
        <color rgb="FF000000"/>
        <rFont val="Noto Sans CJK KR"/>
        <family val="2"/>
      </rPr>
      <t xml:space="preserve">파트너 활성화율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실제 판매 발생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</si>
  <si>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 xml:space="preserve">등록 파트너 중 </t>
    </r>
    <r>
      <rPr>
        <sz val="10"/>
        <color rgb="FF000000"/>
        <rFont val="Arial"/>
        <family val="2"/>
      </rPr>
      <t>65%</t>
    </r>
    <r>
      <rPr>
        <sz val="10"/>
        <color rgb="FF000000"/>
        <rFont val="Noto Sans CJK KR"/>
        <family val="2"/>
      </rPr>
      <t>만 실제 판매</t>
    </r>
  </si>
  <si>
    <r>
      <rPr>
        <sz val="10"/>
        <color rgb="FF000000"/>
        <rFont val="Noto Sans CJK KR"/>
        <family val="2"/>
      </rPr>
      <t xml:space="preserve">상위 파트너 비율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파레토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</si>
  <si>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 xml:space="preserve">상위 </t>
    </r>
    <r>
      <rPr>
        <sz val="10"/>
        <color rgb="FF000000"/>
        <rFont val="Arial"/>
        <family val="2"/>
      </rPr>
      <t>20%</t>
    </r>
    <r>
      <rPr>
        <sz val="10"/>
        <color rgb="FF000000"/>
        <rFont val="Noto Sans CJK KR"/>
        <family val="2"/>
      </rPr>
      <t xml:space="preserve">가 </t>
    </r>
    <r>
      <rPr>
        <sz val="10"/>
        <color rgb="FF000000"/>
        <rFont val="Arial"/>
        <family val="2"/>
      </rPr>
      <t xml:space="preserve">80% </t>
    </r>
    <r>
      <rPr>
        <sz val="10"/>
        <color rgb="FF000000"/>
        <rFont val="Noto Sans CJK KR"/>
        <family val="2"/>
      </rPr>
      <t>수익 창출</t>
    </r>
  </si>
  <si>
    <r>
      <rPr>
        <sz val="10"/>
        <color rgb="FF000000"/>
        <rFont val="Noto Sans CJK KR"/>
        <family val="2"/>
      </rPr>
      <t xml:space="preserve">환율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원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달러</t>
    </r>
    <r>
      <rPr>
        <sz val="10"/>
        <color rgb="FF000000"/>
        <rFont val="Arial"/>
        <family val="2"/>
      </rPr>
      <t>)</t>
    </r>
  </si>
  <si>
    <t>시나리오 변경 가능</t>
  </si>
  <si>
    <t>연간 가격 인상율</t>
  </si>
  <si>
    <r>
      <rPr>
        <sz val="10"/>
        <color rgb="FF000000"/>
        <rFont val="Noto Sans CJK KR"/>
        <family val="2"/>
      </rPr>
      <t xml:space="preserve">연 </t>
    </r>
    <r>
      <rPr>
        <sz val="10"/>
        <color rgb="FF000000"/>
        <rFont val="Arial"/>
        <family val="2"/>
      </rPr>
      <t xml:space="preserve">5% </t>
    </r>
    <r>
      <rPr>
        <sz val="10"/>
        <color rgb="FF000000"/>
        <rFont val="Noto Sans CJK KR"/>
        <family val="2"/>
      </rPr>
      <t xml:space="preserve">가격 인상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인플레이션 반영</t>
    </r>
    <r>
      <rPr>
        <sz val="10"/>
        <color rgb="FF000000"/>
        <rFont val="Arial"/>
        <family val="2"/>
      </rPr>
      <t>)</t>
    </r>
  </si>
  <si>
    <t>연간 전환율 개선율</t>
  </si>
  <si>
    <r>
      <rPr>
        <sz val="10"/>
        <color rgb="FF000000"/>
        <rFont val="Noto Sans CJK KR"/>
        <family val="2"/>
      </rPr>
      <t xml:space="preserve">퍼널 최적화로 연 </t>
    </r>
    <r>
      <rPr>
        <sz val="10"/>
        <color rgb="FF000000"/>
        <rFont val="Arial"/>
        <family val="2"/>
      </rPr>
      <t xml:space="preserve">3% OTO </t>
    </r>
    <r>
      <rPr>
        <sz val="10"/>
        <color rgb="FF000000"/>
        <rFont val="Noto Sans CJK KR"/>
        <family val="2"/>
      </rPr>
      <t>전환율 향상</t>
    </r>
  </si>
  <si>
    <r>
      <rPr>
        <sz val="9"/>
        <color rgb="FFFFFFFF"/>
        <rFont val="Arial"/>
        <family val="2"/>
      </rPr>
      <t xml:space="preserve">🌍 C. </t>
    </r>
    <r>
      <rPr>
        <sz val="9"/>
        <color rgb="FFFFFFFF"/>
        <rFont val="Noto Sans CJK KR"/>
        <family val="2"/>
      </rPr>
      <t xml:space="preserve">국가별 파트너 초기 설정 </t>
    </r>
    <r>
      <rPr>
        <sz val="9"/>
        <color rgb="FFFFFFFF"/>
        <rFont val="Arial"/>
        <family val="2"/>
      </rPr>
      <t>(D+1</t>
    </r>
    <r>
      <rPr>
        <sz val="9"/>
        <color rgb="FFFFFFFF"/>
        <rFont val="Noto Sans CJK KR"/>
        <family val="2"/>
      </rPr>
      <t>개월 시작값</t>
    </r>
    <r>
      <rPr>
        <sz val="9"/>
        <color rgb="FFFFFFFF"/>
        <rFont val="Arial"/>
        <family val="2"/>
      </rPr>
      <t>)</t>
    </r>
  </si>
  <si>
    <t>국가</t>
  </si>
  <si>
    <t>언어</t>
  </si>
  <si>
    <r>
      <rPr>
        <b/>
        <sz val="10"/>
        <color rgb="FFFFFFFF"/>
        <rFont val="Arial"/>
        <family val="2"/>
      </rPr>
      <t>Hotmart</t>
    </r>
    <r>
      <rPr>
        <b/>
        <sz val="10"/>
        <color rgb="FFFFFFFF"/>
        <rFont val="Noto Sans CJK KR"/>
        <family val="2"/>
      </rPr>
      <t>인지도</t>
    </r>
  </si>
  <si>
    <r>
      <rPr>
        <b/>
        <sz val="10"/>
        <color rgb="FFFFFFFF"/>
        <rFont val="Noto Sans CJK KR"/>
        <family val="2"/>
      </rPr>
      <t>초기파트너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KR"/>
        <family val="2"/>
      </rPr>
      <t>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</si>
  <si>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KR"/>
        <family val="2"/>
      </rPr>
      <t>월추가파트너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KR"/>
        <family val="2"/>
      </rPr>
      <t>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</si>
  <si>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KR"/>
        <family val="2"/>
      </rPr>
      <t>년목표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KR"/>
        <family val="2"/>
      </rPr>
      <t>명</t>
    </r>
    <r>
      <rPr>
        <b/>
        <sz val="10"/>
        <color rgb="FFFFFFFF"/>
        <rFont val="Arial"/>
        <family val="2"/>
      </rPr>
      <t>)</t>
    </r>
  </si>
  <si>
    <t>주석</t>
  </si>
  <si>
    <t>🇧🇷 브라질</t>
  </si>
  <si>
    <t>포르투갈어</t>
  </si>
  <si>
    <t>★★★★★</t>
  </si>
  <si>
    <r>
      <rPr>
        <sz val="10"/>
        <color rgb="FF000000"/>
        <rFont val="Noto Sans CJK KR"/>
        <family val="2"/>
      </rPr>
      <t>홈마켓</t>
    </r>
    <r>
      <rPr>
        <sz val="10"/>
        <color rgb="FF000000"/>
        <rFont val="Arial"/>
        <family val="2"/>
      </rPr>
      <t xml:space="preserve">. 53K+ </t>
    </r>
    <r>
      <rPr>
        <sz val="10"/>
        <color rgb="FF000000"/>
        <rFont val="Noto Sans CJK KR"/>
        <family val="2"/>
      </rPr>
      <t>파트너생태계</t>
    </r>
  </si>
  <si>
    <t>🇲🇽 멕시코</t>
  </si>
  <si>
    <t>스페인어</t>
  </si>
  <si>
    <t>★★★★☆</t>
  </si>
  <si>
    <r>
      <rPr>
        <sz val="10"/>
        <color rgb="FF000000"/>
        <rFont val="Noto Sans CJK KR"/>
        <family val="2"/>
      </rPr>
      <t>오피스보유</t>
    </r>
    <r>
      <rPr>
        <sz val="10"/>
        <color rgb="FF000000"/>
        <rFont val="Arial"/>
        <family val="2"/>
      </rPr>
      <t>. LATAM GMV 50%</t>
    </r>
    <r>
      <rPr>
        <sz val="10"/>
        <color rgb="FF000000"/>
        <rFont val="Noto Sans CJK KR"/>
        <family val="2"/>
      </rPr>
      <t>성장</t>
    </r>
  </si>
  <si>
    <t>🇨🇴 콜롬비아</t>
  </si>
  <si>
    <r>
      <rPr>
        <sz val="10"/>
        <color rgb="FF000000"/>
        <rFont val="Noto Sans CJK KR"/>
        <family val="2"/>
      </rPr>
      <t>오피스보유</t>
    </r>
    <r>
      <rPr>
        <sz val="10"/>
        <color rgb="FF000000"/>
        <rFont val="Arial"/>
        <family val="2"/>
      </rPr>
      <t>. YoY 24.2%</t>
    </r>
  </si>
  <si>
    <t>🇺🇸 미국히스패닉</t>
  </si>
  <si>
    <t>★★★☆☆</t>
  </si>
  <si>
    <r>
      <rPr>
        <sz val="10"/>
        <color rgb="FF000000"/>
        <rFont val="Noto Sans CJK KR"/>
        <family val="2"/>
      </rPr>
      <t>소득</t>
    </r>
    <r>
      <rPr>
        <sz val="10"/>
        <color rgb="FF000000"/>
        <rFont val="Arial"/>
        <family val="2"/>
      </rPr>
      <t xml:space="preserve">$2100. </t>
    </r>
    <r>
      <rPr>
        <sz val="10"/>
        <color rgb="FF000000"/>
        <rFont val="Noto Sans CJK KR"/>
        <family val="2"/>
      </rPr>
      <t>달러구매력 최고</t>
    </r>
  </si>
  <si>
    <t>🇦🇷 아르헨티나</t>
  </si>
  <si>
    <t>인플레이션→달러수익 선호</t>
  </si>
  <si>
    <t>🇨🇱 칠레</t>
  </si>
  <si>
    <r>
      <rPr>
        <sz val="10"/>
        <color rgb="FF000000"/>
        <rFont val="Noto Sans CJK KR"/>
        <family val="2"/>
      </rPr>
      <t>인터넷</t>
    </r>
    <r>
      <rPr>
        <sz val="10"/>
        <color rgb="FF000000"/>
        <rFont val="Arial"/>
        <family val="2"/>
      </rPr>
      <t xml:space="preserve">94%. </t>
    </r>
    <r>
      <rPr>
        <sz val="10"/>
        <color rgb="FF000000"/>
        <rFont val="Noto Sans CJK KR"/>
        <family val="2"/>
      </rPr>
      <t xml:space="preserve">소득 </t>
    </r>
    <r>
      <rPr>
        <sz val="10"/>
        <color rgb="FF000000"/>
        <rFont val="Arial"/>
        <family val="2"/>
      </rPr>
      <t>LATAM1</t>
    </r>
    <r>
      <rPr>
        <sz val="10"/>
        <color rgb="FF000000"/>
        <rFont val="Noto Sans CJK KR"/>
        <family val="2"/>
      </rPr>
      <t>위</t>
    </r>
  </si>
  <si>
    <t>🇵🇹 포르투갈</t>
  </si>
  <si>
    <t>★★☆☆☆</t>
  </si>
  <si>
    <r>
      <rPr>
        <sz val="10"/>
        <color rgb="FF000000"/>
        <rFont val="Noto Sans CJK KR"/>
        <family val="2"/>
      </rPr>
      <t>유럽 포르투갈어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브라질 콘텐츠 소비</t>
    </r>
  </si>
  <si>
    <t>합계</t>
  </si>
  <si>
    <r>
      <rPr>
        <sz val="9"/>
        <color rgb="FFFFFFFF"/>
        <rFont val="Arial"/>
        <family val="2"/>
      </rPr>
      <t xml:space="preserve">📈 D. </t>
    </r>
    <r>
      <rPr>
        <sz val="9"/>
        <color rgb="FFFFFFFF"/>
        <rFont val="Noto Sans CJK KR"/>
        <family val="2"/>
      </rPr>
      <t xml:space="preserve">연도별 자동 성장 배수 </t>
    </r>
    <r>
      <rPr>
        <sz val="9"/>
        <color rgb="FFFFFFFF"/>
        <rFont val="Arial"/>
        <family val="2"/>
      </rPr>
      <t>(</t>
    </r>
    <r>
      <rPr>
        <sz val="9"/>
        <color rgb="FFFFFFFF"/>
        <rFont val="Noto Sans CJK KR"/>
        <family val="2"/>
      </rPr>
      <t xml:space="preserve">파트너 바이럴 </t>
    </r>
    <r>
      <rPr>
        <sz val="9"/>
        <color rgb="FFFFFFFF"/>
        <rFont val="Arial"/>
        <family val="2"/>
      </rPr>
      <t xml:space="preserve">+ </t>
    </r>
    <r>
      <rPr>
        <sz val="9"/>
        <color rgb="FFFFFFFF"/>
        <rFont val="Noto Sans CJK KR"/>
        <family val="2"/>
      </rPr>
      <t>이탈 순효과</t>
    </r>
    <r>
      <rPr>
        <sz val="9"/>
        <color rgb="FFFFFFFF"/>
        <rFont val="Arial"/>
        <family val="2"/>
      </rPr>
      <t>)</t>
    </r>
  </si>
  <si>
    <t>연도</t>
  </si>
  <si>
    <t>파트너성장배수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</si>
  <si>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</si>
  <si>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>바이럴</t>
    </r>
    <r>
      <rPr>
        <sz val="10"/>
        <color rgb="FF000000"/>
        <rFont val="Arial"/>
        <family val="2"/>
      </rPr>
      <t xml:space="preserve">K=15% </t>
    </r>
    <r>
      <rPr>
        <sz val="10"/>
        <color rgb="FF000000"/>
        <rFont val="Noto Sans CJK KR"/>
        <family val="2"/>
      </rPr>
      <t>유입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KR"/>
        <family val="2"/>
      </rPr>
      <t>이탈</t>
    </r>
    <r>
      <rPr>
        <sz val="10"/>
        <color rgb="FF000000"/>
        <rFont val="Arial"/>
        <family val="2"/>
      </rPr>
      <t xml:space="preserve">20% → </t>
    </r>
    <r>
      <rPr>
        <sz val="10"/>
        <color rgb="FF000000"/>
        <rFont val="Noto Sans CJK KR"/>
        <family val="2"/>
      </rPr>
      <t>순증가</t>
    </r>
  </si>
  <si>
    <r>
      <rPr>
        <sz val="10"/>
        <color rgb="FF000000"/>
        <rFont val="Arial"/>
        <family val="2"/>
      </rPr>
      <t>2</t>
    </r>
    <r>
      <rPr>
        <sz val="10"/>
        <color rgb="FF000000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</si>
  <si>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>입소문 확산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이탈율 개선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</si>
  <si>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</si>
  <si>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>브랜드 인지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파트너 생태계 안정화</t>
    </r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</si>
  <si>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</si>
  <si>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>복리 효과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상위 파트너 고착화</t>
    </r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</si>
  <si>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</si>
  <si>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>완전 자동화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 xml:space="preserve">민철 씨 개입 ≈ </t>
    </r>
    <r>
      <rPr>
        <sz val="10"/>
        <color rgb="FF000000"/>
        <rFont val="Arial"/>
        <family val="2"/>
      </rPr>
      <t>0</t>
    </r>
  </si>
  <si>
    <r>
      <rPr>
        <b/>
        <sz val="12"/>
        <color rgb="FFFFFFFF"/>
        <rFont val="Arial"/>
        <family val="2"/>
      </rPr>
      <t>📅 1</t>
    </r>
    <r>
      <rPr>
        <b/>
        <sz val="12"/>
        <color rgb="FFFFFFFF"/>
        <rFont val="Noto Sans CJK KR"/>
        <family val="2"/>
      </rPr>
      <t xml:space="preserve">년차 월별 수익 시뮬레이션 — </t>
    </r>
    <r>
      <rPr>
        <b/>
        <sz val="12"/>
        <color rgb="FFFFFFFF"/>
        <rFont val="Arial"/>
        <family val="2"/>
      </rPr>
      <t>D+1</t>
    </r>
    <r>
      <rPr>
        <b/>
        <sz val="12"/>
        <color rgb="FFFFFFFF"/>
        <rFont val="Noto Sans CJK KR"/>
        <family val="2"/>
      </rPr>
      <t xml:space="preserve">개월 </t>
    </r>
    <r>
      <rPr>
        <b/>
        <sz val="12"/>
        <color rgb="FFFFFFFF"/>
        <rFont val="Arial"/>
        <family val="2"/>
      </rPr>
      <t>~ D+12</t>
    </r>
    <r>
      <rPr>
        <b/>
        <sz val="12"/>
        <color rgb="FFFFFFFF"/>
        <rFont val="Noto Sans CJK KR"/>
        <family val="2"/>
      </rPr>
      <t>개월</t>
    </r>
  </si>
  <si>
    <r>
      <rPr>
        <sz val="9"/>
        <color rgb="FFFFFFFF"/>
        <rFont val="Noto Sans CJK KR"/>
        <family val="2"/>
      </rPr>
      <t xml:space="preserve">민철 씨 개입 </t>
    </r>
    <r>
      <rPr>
        <sz val="9"/>
        <color rgb="FFFFFFFF"/>
        <rFont val="Arial"/>
        <family val="2"/>
      </rPr>
      <t xml:space="preserve">0 | </t>
    </r>
    <r>
      <rPr>
        <sz val="9"/>
        <color rgb="FFFFFFFF"/>
        <rFont val="Noto Sans CJK KR"/>
        <family val="2"/>
      </rPr>
      <t xml:space="preserve">자동화 퍼널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 xml:space="preserve">파레토 파트너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>국가별 합산</t>
    </r>
  </si>
  <si>
    <r>
      <rPr>
        <sz val="9"/>
        <color rgb="FFFFFFFF"/>
        <rFont val="Noto Sans CJK KR"/>
        <family val="2"/>
      </rPr>
      <t xml:space="preserve">🌍 국가별 월별 파트너 수 </t>
    </r>
    <r>
      <rPr>
        <sz val="9"/>
        <color rgb="FFFFFFFF"/>
        <rFont val="Arial"/>
        <family val="2"/>
      </rPr>
      <t xml:space="preserve">&amp; </t>
    </r>
    <r>
      <rPr>
        <sz val="9"/>
        <color rgb="FFFFFFFF"/>
        <rFont val="Noto Sans CJK KR"/>
        <family val="2"/>
      </rPr>
      <t>수익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</si>
  <si>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</si>
  <si>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</si>
  <si>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</si>
  <si>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</si>
  <si>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</si>
  <si>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6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</si>
  <si>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7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</si>
  <si>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8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</si>
  <si>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9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</si>
  <si>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10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</si>
  <si>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11</t>
    </r>
    <r>
      <rPr>
        <b/>
        <sz val="10"/>
        <color rgb="FFFFFFFF"/>
        <rFont val="Noto Sans CJK KR"/>
        <family val="2"/>
      </rPr>
      <t>월</t>
    </r>
  </si>
  <si>
    <r>
      <rPr>
        <b/>
        <sz val="10"/>
        <color rgb="FFFFFFFF"/>
        <rFont val="Arial"/>
        <family val="2"/>
      </rPr>
      <t>12</t>
    </r>
    <r>
      <rPr>
        <b/>
        <sz val="10"/>
        <color rgb="FFFFFFFF"/>
        <rFont val="Noto Sans CJK KR"/>
        <family val="2"/>
      </rPr>
      <t>월</t>
    </r>
  </si>
  <si>
    <t>연간합계</t>
  </si>
  <si>
    <r>
      <rPr>
        <sz val="10"/>
        <color rgb="FF000000"/>
        <rFont val="Noto Sans CJK KR"/>
        <family val="2"/>
      </rPr>
      <t>🇧🇷 브라질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</si>
  <si>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🇧🇷 브라질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</si>
  <si>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🇧🇷 브라질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</si>
  <si>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🇲🇽 멕시코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</si>
  <si>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🇲🇽 멕시코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</si>
  <si>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🇲🇽 멕시코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</si>
  <si>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🇨🇴 콜롬비아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</si>
  <si>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🇨🇴 콜롬비아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</si>
  <si>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🇨🇴 콜롬비아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</si>
  <si>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🇺🇸 미국히스패닉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</si>
  <si>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🇺🇸 미국히스패닉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</si>
  <si>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🇺🇸 미국히스패닉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</si>
  <si>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🇦🇷 아르헨티나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</si>
  <si>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🇦🇷 아르헨티나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</si>
  <si>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🇦🇷 아르헨티나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</si>
  <si>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🇨🇱 칠레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</si>
  <si>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🇨🇱 칠레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</si>
  <si>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🇨🇱 칠레 수익</t>
    </r>
    <r>
      <rPr>
        <b/>
        <sz val="10"/>
        <color rgb="FFFFFFFF"/>
        <rFont val="Arial"/>
        <family val="2"/>
      </rPr>
      <t>(₩)</t>
    </r>
  </si>
  <si>
    <r>
      <rPr>
        <sz val="10"/>
        <color rgb="FF000000"/>
        <rFont val="Noto Sans CJK KR"/>
        <family val="2"/>
      </rPr>
      <t>🇵🇹 포르투갈 파트너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</si>
  <si>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🇵🇹 포르투갈 수익</t>
    </r>
    <r>
      <rPr>
        <sz val="10"/>
        <color rgb="FF000000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</si>
  <si>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🇵🇹 포르투갈 수익</t>
    </r>
    <r>
      <rPr>
        <b/>
        <sz val="10"/>
        <color rgb="FFFFFFFF"/>
        <rFont val="Arial"/>
        <family val="2"/>
      </rPr>
      <t>(₩)</t>
    </r>
  </si>
  <si>
    <t>🏆 전체 국가 합산</t>
  </si>
  <si>
    <r>
      <rPr>
        <b/>
        <sz val="10"/>
        <color rgb="FFFFFFFF"/>
        <rFont val="Noto Sans CJK KR"/>
        <family val="2"/>
      </rPr>
      <t>💰 전체 월수익</t>
    </r>
    <r>
      <rPr>
        <b/>
        <sz val="10"/>
        <color rgb="FFFFFFFF"/>
        <rFont val="Arial"/>
        <family val="2"/>
      </rPr>
      <t>(₩)</t>
    </r>
  </si>
  <si>
    <r>
      <rPr>
        <b/>
        <sz val="10"/>
        <color rgb="FFFFFFFF"/>
        <rFont val="Noto Sans CJK KR"/>
        <family val="2"/>
      </rPr>
      <t>📊 누적 수익</t>
    </r>
    <r>
      <rPr>
        <b/>
        <sz val="10"/>
        <color rgb="FFFFFFFF"/>
        <rFont val="Arial"/>
        <family val="2"/>
      </rPr>
      <t>(₩)</t>
    </r>
  </si>
  <si>
    <r>
      <rPr>
        <b/>
        <sz val="12"/>
        <color rgb="FFFFFFFF"/>
        <rFont val="Arial"/>
        <family val="2"/>
      </rPr>
      <t>🚀 5</t>
    </r>
    <r>
      <rPr>
        <b/>
        <sz val="12"/>
        <color rgb="FFFFFFFF"/>
        <rFont val="Noto Sans CJK KR"/>
        <family val="2"/>
      </rPr>
      <t xml:space="preserve">년 자동화 수익 시뮬레이션 — 복리 성장 </t>
    </r>
    <r>
      <rPr>
        <b/>
        <sz val="12"/>
        <color rgb="FFFFFFFF"/>
        <rFont val="Arial"/>
        <family val="2"/>
      </rPr>
      <t xml:space="preserve">+ </t>
    </r>
    <r>
      <rPr>
        <b/>
        <sz val="12"/>
        <color rgb="FFFFFFFF"/>
        <rFont val="Noto Sans CJK KR"/>
        <family val="2"/>
      </rPr>
      <t>파트너 생태계</t>
    </r>
  </si>
  <si>
    <r>
      <rPr>
        <sz val="9"/>
        <color rgb="FFFFFFFF"/>
        <rFont val="Noto Sans CJK KR"/>
        <family val="2"/>
      </rPr>
      <t xml:space="preserve">연간 가격인상 </t>
    </r>
    <r>
      <rPr>
        <sz val="9"/>
        <color rgb="FFFFFFFF"/>
        <rFont val="Arial"/>
        <family val="2"/>
      </rPr>
      <t xml:space="preserve">5% + </t>
    </r>
    <r>
      <rPr>
        <sz val="9"/>
        <color rgb="FFFFFFFF"/>
        <rFont val="Noto Sans CJK KR"/>
        <family val="2"/>
      </rPr>
      <t xml:space="preserve">전환율 개선 </t>
    </r>
    <r>
      <rPr>
        <sz val="9"/>
        <color rgb="FFFFFFFF"/>
        <rFont val="Arial"/>
        <family val="2"/>
      </rPr>
      <t xml:space="preserve">3% + </t>
    </r>
    <r>
      <rPr>
        <sz val="9"/>
        <color rgb="FFFFFFFF"/>
        <rFont val="Noto Sans CJK KR"/>
        <family val="2"/>
      </rPr>
      <t>바이럴</t>
    </r>
    <r>
      <rPr>
        <sz val="9"/>
        <color rgb="FFFFFFFF"/>
        <rFont val="Arial"/>
        <family val="2"/>
      </rPr>
      <t xml:space="preserve">K </t>
    </r>
    <r>
      <rPr>
        <sz val="9"/>
        <color rgb="FFFFFFFF"/>
        <rFont val="Noto Sans CJK KR"/>
        <family val="2"/>
      </rPr>
      <t xml:space="preserve">복리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 xml:space="preserve">민철 씨 개입 ≈ </t>
    </r>
    <r>
      <rPr>
        <sz val="9"/>
        <color rgb="FFFFFFFF"/>
        <rFont val="Arial"/>
        <family val="2"/>
      </rPr>
      <t>0</t>
    </r>
  </si>
  <si>
    <t>📊 연도별 핵심 지표 요약</t>
  </si>
  <si>
    <t>지표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</si>
  <si>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KR"/>
        <family val="2"/>
      </rPr>
      <t>년차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</si>
  <si>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KR"/>
        <family val="2"/>
      </rPr>
      <t>년차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</si>
  <si>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KR"/>
        <family val="2"/>
      </rPr>
      <t>년차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</si>
  <si>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KR"/>
        <family val="2"/>
      </rPr>
      <t>년차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</si>
  <si>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KR"/>
        <family val="2"/>
      </rPr>
      <t>년차</t>
    </r>
  </si>
  <si>
    <r>
      <rPr>
        <sz val="10"/>
        <color rgb="FF000000"/>
        <rFont val="Noto Sans CJK KR"/>
        <family val="2"/>
      </rPr>
      <t xml:space="preserve">총 파트너 수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연말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KR"/>
        <family val="2"/>
      </rPr>
      <t>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</si>
  <si>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 xml:space="preserve">월평균 오너수익 </t>
    </r>
    <r>
      <rPr>
        <sz val="10"/>
        <color rgb="FF000000"/>
        <rFont val="Arial"/>
        <family val="2"/>
      </rPr>
      <t>($)</t>
    </r>
  </si>
  <si>
    <r>
      <rPr>
        <b/>
        <sz val="10"/>
        <color rgb="FF000000"/>
        <rFont val="Noto Sans CJK KR"/>
        <family val="2"/>
      </rPr>
      <t xml:space="preserve">연간 오너수익 </t>
    </r>
    <r>
      <rPr>
        <b/>
        <sz val="10"/>
        <color rgb="FF000000"/>
        <rFont val="Arial"/>
        <family val="2"/>
      </rPr>
      <t>(₩)</t>
    </r>
  </si>
  <si>
    <r>
      <rPr>
        <b/>
        <sz val="10"/>
        <color rgb="FF000000"/>
        <rFont val="Noto Sans CJK KR"/>
        <family val="2"/>
      </rPr>
      <t xml:space="preserve">누적 오너수익 </t>
    </r>
    <r>
      <rPr>
        <b/>
        <sz val="10"/>
        <color rgb="FF000000"/>
        <rFont val="Arial"/>
        <family val="2"/>
      </rPr>
      <t>(₩, 5</t>
    </r>
    <r>
      <rPr>
        <b/>
        <sz val="10"/>
        <color rgb="FF000000"/>
        <rFont val="Noto Sans CJK KR"/>
        <family val="2"/>
      </rPr>
      <t>년</t>
    </r>
    <r>
      <rPr>
        <b/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</si>
  <si>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 xml:space="preserve">월평균 오너수익 </t>
    </r>
    <r>
      <rPr>
        <sz val="10"/>
        <color rgb="FF000000"/>
        <rFont val="Arial"/>
        <family val="2"/>
      </rPr>
      <t>(₩)</t>
    </r>
  </si>
  <si>
    <r>
      <rPr>
        <sz val="10"/>
        <color rgb="FF000000"/>
        <rFont val="Noto Sans CJK KR"/>
        <family val="2"/>
      </rPr>
      <t xml:space="preserve">파트너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 xml:space="preserve">인당 월수익 </t>
    </r>
    <r>
      <rPr>
        <sz val="10"/>
        <color rgb="FF000000"/>
        <rFont val="Arial"/>
        <family val="2"/>
      </rPr>
      <t>(₩)</t>
    </r>
  </si>
  <si>
    <r>
      <rPr>
        <sz val="10"/>
        <color rgb="FF000000"/>
        <rFont val="Arial"/>
        <family val="2"/>
      </rPr>
      <t xml:space="preserve">T1 </t>
    </r>
    <r>
      <rPr>
        <sz val="10"/>
        <color rgb="FF000000"/>
        <rFont val="Noto Sans CJK KR"/>
        <family val="2"/>
      </rPr>
      <t xml:space="preserve">번들가 </t>
    </r>
    <r>
      <rPr>
        <sz val="10"/>
        <color rgb="FF000000"/>
        <rFont val="Arial"/>
        <family val="2"/>
      </rPr>
      <t xml:space="preserve">($, </t>
    </r>
    <r>
      <rPr>
        <sz val="10"/>
        <color rgb="FF000000"/>
        <rFont val="Noto Sans CJK KR"/>
        <family val="2"/>
      </rPr>
      <t>가격인상 반영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</si>
  <si>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T2 OTO </t>
    </r>
    <r>
      <rPr>
        <sz val="10"/>
        <color rgb="FF000000"/>
        <rFont val="Noto Sans CJK KR"/>
        <family val="2"/>
      </rPr>
      <t xml:space="preserve">전환율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개선 반영</t>
    </r>
    <r>
      <rPr>
        <sz val="10"/>
        <color rgb="FF000000"/>
        <rFont val="Arial"/>
        <family val="2"/>
      </rPr>
      <t>)</t>
    </r>
  </si>
  <si>
    <r>
      <rPr>
        <sz val="9"/>
        <color rgb="FFFFFFFF"/>
        <rFont val="Arial"/>
        <family val="2"/>
      </rPr>
      <t>🎯 5</t>
    </r>
    <r>
      <rPr>
        <sz val="9"/>
        <color rgb="FFFFFFFF"/>
        <rFont val="Noto Sans CJK KR"/>
        <family val="2"/>
      </rPr>
      <t xml:space="preserve">년 수익 시나리오 비교 </t>
    </r>
    <r>
      <rPr>
        <sz val="9"/>
        <color rgb="FFFFFFFF"/>
        <rFont val="Arial"/>
        <family val="2"/>
      </rPr>
      <t>(</t>
    </r>
    <r>
      <rPr>
        <sz val="9"/>
        <color rgb="FFFFFFFF"/>
        <rFont val="Noto Sans CJK KR"/>
        <family val="2"/>
      </rPr>
      <t>파트너 모집 속도별</t>
    </r>
    <r>
      <rPr>
        <sz val="9"/>
        <color rgb="FFFFFFFF"/>
        <rFont val="Arial"/>
        <family val="2"/>
      </rPr>
      <t>)</t>
    </r>
  </si>
  <si>
    <t>시나리오</t>
  </si>
  <si>
    <t>월추가파트너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</si>
  <si>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KR"/>
        <family val="2"/>
      </rPr>
      <t>년차 연간</t>
    </r>
  </si>
  <si>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Noto Sans CJK KR"/>
        <family val="2"/>
      </rPr>
      <t>년차 연간</t>
    </r>
  </si>
  <si>
    <r>
      <rPr>
        <b/>
        <sz val="10"/>
        <color rgb="FFFFFFFF"/>
        <rFont val="Arial"/>
        <family val="2"/>
      </rPr>
      <t>3</t>
    </r>
    <r>
      <rPr>
        <b/>
        <sz val="10"/>
        <color rgb="FFFFFFFF"/>
        <rFont val="Noto Sans CJK KR"/>
        <family val="2"/>
      </rPr>
      <t>년차 연간</t>
    </r>
  </si>
  <si>
    <r>
      <rPr>
        <b/>
        <sz val="10"/>
        <color rgb="FFFFFFFF"/>
        <rFont val="Arial"/>
        <family val="2"/>
      </rPr>
      <t>4</t>
    </r>
    <r>
      <rPr>
        <b/>
        <sz val="10"/>
        <color rgb="FFFFFFFF"/>
        <rFont val="Noto Sans CJK KR"/>
        <family val="2"/>
      </rPr>
      <t>년차 연간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</si>
  <si>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KR"/>
        <family val="2"/>
      </rPr>
      <t>년차 연간</t>
    </r>
  </si>
  <si>
    <r>
      <rPr>
        <b/>
        <sz val="10"/>
        <color rgb="FFFFFFFF"/>
        <rFont val="Arial"/>
        <family val="2"/>
      </rPr>
      <t>5</t>
    </r>
    <r>
      <rPr>
        <b/>
        <sz val="10"/>
        <color rgb="FFFFFFFF"/>
        <rFont val="Noto Sans CJK KR"/>
        <family val="2"/>
      </rPr>
      <t>년 누적</t>
    </r>
  </si>
  <si>
    <t>🐢 보수적</t>
  </si>
  <si>
    <r>
      <rPr>
        <sz val="10"/>
        <color rgb="FF000000"/>
        <rFont val="Noto Sans CJK KR"/>
        <family val="2"/>
      </rPr>
      <t>🚀 기본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현재</t>
    </r>
    <r>
      <rPr>
        <sz val="10"/>
        <color rgb="FF000000"/>
        <rFont val="Arial"/>
        <family val="2"/>
      </rPr>
      <t>)</t>
    </r>
  </si>
  <si>
    <t>💥 공격적</t>
  </si>
  <si>
    <t>🌋 폭발적</t>
  </si>
  <si>
    <t>🤖 자동화 수익원 분해 — 민철 씨 시간투자 대비 수익</t>
  </si>
  <si>
    <t>수익원</t>
  </si>
  <si>
    <t>자동화 방식</t>
  </si>
  <si>
    <t>민철씨 개입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</si>
  <si>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KR"/>
        <family val="2"/>
      </rPr>
      <t>년차 기여율</t>
    </r>
  </si>
  <si>
    <t>성장성</t>
  </si>
  <si>
    <r>
      <rPr>
        <b/>
        <sz val="10"/>
        <color rgb="FF000000"/>
        <rFont val="Arial"/>
        <family val="2"/>
      </rPr>
      <t xml:space="preserve">T1 </t>
    </r>
    <r>
      <rPr>
        <b/>
        <sz val="10"/>
        <color rgb="FF000000"/>
        <rFont val="Noto Sans CJK KR"/>
        <family val="2"/>
      </rPr>
      <t>번들 판매</t>
    </r>
  </si>
  <si>
    <r>
      <rPr>
        <sz val="10"/>
        <color rgb="FF000000"/>
        <rFont val="Noto Sans CJK KR"/>
        <family val="2"/>
      </rPr>
      <t xml:space="preserve">파트너 링크 자동 추적 → </t>
    </r>
    <r>
      <rPr>
        <sz val="10"/>
        <color rgb="FF000000"/>
        <rFont val="Arial"/>
        <family val="2"/>
      </rPr>
      <t xml:space="preserve">Hotmart </t>
    </r>
    <r>
      <rPr>
        <sz val="10"/>
        <color rgb="FF000000"/>
        <rFont val="Noto Sans CJK KR"/>
        <family val="2"/>
      </rPr>
      <t>자동 정산</t>
    </r>
  </si>
  <si>
    <t>0%</t>
  </si>
  <si>
    <t>~40%</t>
  </si>
  <si>
    <r>
      <rPr>
        <sz val="10"/>
        <color rgb="FF000000"/>
        <rFont val="Noto Sans CJK KR"/>
        <family val="2"/>
      </rPr>
      <t>트립와이어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파트너 유입 엔진</t>
    </r>
  </si>
  <si>
    <r>
      <rPr>
        <b/>
        <sz val="10"/>
        <color rgb="FF000000"/>
        <rFont val="Arial"/>
        <family val="2"/>
      </rPr>
      <t xml:space="preserve">T2 OTO </t>
    </r>
    <r>
      <rPr>
        <b/>
        <sz val="10"/>
        <color rgb="FF000000"/>
        <rFont val="Noto Sans CJK KR"/>
        <family val="2"/>
      </rPr>
      <t>전환</t>
    </r>
  </si>
  <si>
    <r>
      <rPr>
        <sz val="10"/>
        <color rgb="FF000000"/>
        <rFont val="Arial"/>
        <family val="2"/>
      </rPr>
      <t xml:space="preserve">T1 </t>
    </r>
    <r>
      <rPr>
        <sz val="10"/>
        <color rgb="FF000000"/>
        <rFont val="Noto Sans CJK KR"/>
        <family val="2"/>
      </rPr>
      <t>결제 완료 즉시 자동 팝업 노출</t>
    </r>
  </si>
  <si>
    <t>~35%</t>
  </si>
  <si>
    <r>
      <rPr>
        <sz val="10"/>
        <color rgb="FF000000"/>
        <rFont val="Noto Sans CJK KR"/>
        <family val="2"/>
      </rPr>
      <t>가장 높은 마진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핵심 수익원</t>
    </r>
  </si>
  <si>
    <r>
      <rPr>
        <b/>
        <sz val="10"/>
        <color rgb="FF000000"/>
        <rFont val="Arial"/>
        <family val="2"/>
      </rPr>
      <t xml:space="preserve">T3 </t>
    </r>
    <r>
      <rPr>
        <b/>
        <sz val="10"/>
        <color rgb="FF000000"/>
        <rFont val="Noto Sans CJK KR"/>
        <family val="2"/>
      </rPr>
      <t>이메일 업셀</t>
    </r>
  </si>
  <si>
    <r>
      <rPr>
        <sz val="10"/>
        <color rgb="FF000000"/>
        <rFont val="Noto Sans CJK KR"/>
        <family val="2"/>
      </rPr>
      <t xml:space="preserve">구매 후 자동 이메일 시퀀스 </t>
    </r>
    <r>
      <rPr>
        <sz val="10"/>
        <color rgb="FF000000"/>
        <rFont val="Arial"/>
        <family val="2"/>
      </rPr>
      <t>7</t>
    </r>
    <r>
      <rPr>
        <sz val="10"/>
        <color rgb="FF000000"/>
        <rFont val="Noto Sans CJK KR"/>
        <family val="2"/>
      </rPr>
      <t>일</t>
    </r>
  </si>
  <si>
    <t>~15%</t>
  </si>
  <si>
    <r>
      <rPr>
        <sz val="10"/>
        <color rgb="FF000000"/>
        <rFont val="Noto Sans CJK KR"/>
        <family val="2"/>
      </rPr>
      <t>패시브 수익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수면 중 발생</t>
    </r>
  </si>
  <si>
    <t>파트너 바이럴</t>
  </si>
  <si>
    <r>
      <rPr>
        <sz val="10"/>
        <color rgb="FF000000"/>
        <rFont val="Noto Sans CJK KR"/>
        <family val="2"/>
      </rPr>
      <t xml:space="preserve">파트너가 파트너 추천 </t>
    </r>
    <r>
      <rPr>
        <sz val="10"/>
        <color rgb="FF000000"/>
        <rFont val="Arial"/>
        <family val="2"/>
      </rPr>
      <t>(K=0.15)</t>
    </r>
  </si>
  <si>
    <t>~10%</t>
  </si>
  <si>
    <t>시간이 갈수록 가속화</t>
  </si>
  <si>
    <t>가격 자동 인상</t>
  </si>
  <si>
    <r>
      <rPr>
        <sz val="10"/>
        <color rgb="FF000000"/>
        <rFont val="Noto Sans CJK KR"/>
        <family val="2"/>
      </rPr>
      <t xml:space="preserve">연 </t>
    </r>
    <r>
      <rPr>
        <sz val="10"/>
        <color rgb="FF000000"/>
        <rFont val="Arial"/>
        <family val="2"/>
      </rPr>
      <t xml:space="preserve">5% Hotmart </t>
    </r>
    <r>
      <rPr>
        <sz val="10"/>
        <color rgb="FF000000"/>
        <rFont val="Noto Sans CJK KR"/>
        <family val="2"/>
      </rPr>
      <t>가격 업데이트</t>
    </r>
  </si>
  <si>
    <r>
      <rPr>
        <b/>
        <sz val="10"/>
        <color rgb="FFFF0000"/>
        <rFont val="Arial"/>
        <family val="2"/>
      </rPr>
      <t>1</t>
    </r>
    <r>
      <rPr>
        <b/>
        <sz val="10"/>
        <color rgb="FFFF0000"/>
        <rFont val="Noto Sans CJK KR"/>
        <family val="2"/>
      </rPr>
      <t>회</t>
    </r>
    <r>
      <rPr>
        <b/>
        <sz val="10"/>
        <color rgb="FFFF0000"/>
        <rFont val="Arial"/>
        <family val="2"/>
      </rPr>
      <t>/</t>
    </r>
    <r>
      <rPr>
        <b/>
        <sz val="10"/>
        <color rgb="FFFF0000"/>
        <rFont val="Noto Sans CJK KR"/>
        <family val="2"/>
      </rPr>
      <t>년</t>
    </r>
  </si>
  <si>
    <t>복리 효과</t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</si>
  <si>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 xml:space="preserve">년후 </t>
    </r>
    <r>
      <rPr>
        <sz val="10"/>
        <color rgb="FF000000"/>
        <rFont val="Arial"/>
        <family val="2"/>
      </rPr>
      <t>T1</t>
    </r>
    <r>
      <rPr>
        <sz val="10"/>
        <color rgb="FF000000"/>
        <rFont val="Noto Sans CJK KR"/>
        <family val="2"/>
      </rPr>
      <t xml:space="preserve">가 </t>
    </r>
    <r>
      <rPr>
        <sz val="10"/>
        <color rgb="FF000000"/>
        <rFont val="Arial"/>
        <family val="2"/>
      </rPr>
      <t>$16.3</t>
    </r>
  </si>
  <si>
    <r>
      <rPr>
        <b/>
        <sz val="12"/>
        <color rgb="FFFFFFFF"/>
        <rFont val="Arial"/>
        <family val="2"/>
      </rPr>
      <t>💰 60</t>
    </r>
    <r>
      <rPr>
        <b/>
        <sz val="12"/>
        <color rgb="FFFFFFFF"/>
        <rFont val="Noto Sans CJK KR"/>
        <family val="2"/>
      </rPr>
      <t>개월 월별 캐시플로우 — 자동화 수익 전체 타임라인</t>
    </r>
  </si>
  <si>
    <r>
      <rPr>
        <sz val="9"/>
        <color rgb="FFFFFFFF"/>
        <rFont val="Arial"/>
        <family val="2"/>
      </rPr>
      <t>D+1</t>
    </r>
    <r>
      <rPr>
        <sz val="9"/>
        <color rgb="FFFFFFFF"/>
        <rFont val="Noto Sans CJK KR"/>
        <family val="2"/>
      </rPr>
      <t xml:space="preserve">개월 시작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 xml:space="preserve">매월 자동 계산 </t>
    </r>
    <r>
      <rPr>
        <sz val="9"/>
        <color rgb="FFFFFFFF"/>
        <rFont val="Arial"/>
        <family val="2"/>
      </rPr>
      <t xml:space="preserve">| </t>
    </r>
    <r>
      <rPr>
        <sz val="9"/>
        <color rgb="FFFFFFFF"/>
        <rFont val="Noto Sans CJK KR"/>
        <family val="2"/>
      </rPr>
      <t>복리 성장 반영</t>
    </r>
  </si>
  <si>
    <t>월</t>
  </si>
  <si>
    <r>
      <rPr>
        <b/>
        <sz val="10"/>
        <color rgb="FFFFFFFF"/>
        <rFont val="Noto Sans CJK KR"/>
        <family val="2"/>
      </rPr>
      <t>파트너수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KR"/>
        <family val="2"/>
      </rPr>
      <t>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</si>
  <si>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T1</t>
    </r>
    <r>
      <rPr>
        <b/>
        <sz val="10"/>
        <color rgb="FFFFFFFF"/>
        <rFont val="Noto Sans CJK KR"/>
        <family val="2"/>
      </rPr>
      <t>수익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</si>
  <si>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Arial"/>
        <family val="2"/>
      </rPr>
      <t>T2</t>
    </r>
    <r>
      <rPr>
        <b/>
        <sz val="10"/>
        <color rgb="FFFFFFFF"/>
        <rFont val="Noto Sans CJK KR"/>
        <family val="2"/>
      </rPr>
      <t>수익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</si>
  <si>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Arial"/>
        <family val="2"/>
      </rPr>
      <t>T3</t>
    </r>
    <r>
      <rPr>
        <b/>
        <sz val="10"/>
        <color rgb="FFFFFFFF"/>
        <rFont val="Noto Sans CJK KR"/>
        <family val="2"/>
      </rPr>
      <t>수익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</si>
  <si>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합계</t>
    </r>
    <r>
      <rPr>
        <b/>
        <sz val="10"/>
        <color rgb="FFFFFFFF"/>
        <rFont val="Arial"/>
        <family val="2"/>
      </rPr>
      <t>($)</t>
    </r>
  </si>
  <si>
    <r>
      <rPr>
        <b/>
        <sz val="10"/>
        <color rgb="FFFFFFFF"/>
        <rFont val="Noto Sans CJK KR"/>
        <family val="2"/>
      </rPr>
      <t>합계</t>
    </r>
    <r>
      <rPr>
        <b/>
        <sz val="10"/>
        <color rgb="FFFFFFFF"/>
        <rFont val="Arial"/>
        <family val="2"/>
      </rPr>
      <t>(₩)</t>
    </r>
  </si>
  <si>
    <r>
      <rPr>
        <b/>
        <sz val="10"/>
        <color rgb="FFFFFFFF"/>
        <rFont val="Noto Sans CJK KR"/>
        <family val="2"/>
      </rPr>
      <t>누적</t>
    </r>
    <r>
      <rPr>
        <b/>
        <sz val="10"/>
        <color rgb="FFFFFFFF"/>
        <rFont val="Arial"/>
        <family val="2"/>
      </rPr>
      <t>(₩)</t>
    </r>
  </si>
  <si>
    <r>
      <rPr>
        <b/>
        <sz val="12"/>
        <color rgb="FFFFFFFF"/>
        <rFont val="Noto Sans CJK KR"/>
        <family val="2"/>
      </rPr>
      <t xml:space="preserve">🎯 자동화 </t>
    </r>
    <r>
      <rPr>
        <b/>
        <sz val="12"/>
        <color rgb="FFFFFFFF"/>
        <rFont val="Arial"/>
        <family val="2"/>
      </rPr>
      <t xml:space="preserve">ROI &amp; </t>
    </r>
    <r>
      <rPr>
        <b/>
        <sz val="12"/>
        <color rgb="FFFFFFFF"/>
        <rFont val="Noto Sans CJK KR"/>
        <family val="2"/>
      </rPr>
      <t>손익분기 분석</t>
    </r>
  </si>
  <si>
    <r>
      <rPr>
        <sz val="9"/>
        <color rgb="FFFFFFFF"/>
        <rFont val="Noto Sans CJK KR"/>
        <family val="2"/>
      </rPr>
      <t xml:space="preserve">초기 투자 </t>
    </r>
    <r>
      <rPr>
        <sz val="9"/>
        <color rgb="FFFFFFFF"/>
        <rFont val="Arial"/>
        <family val="2"/>
      </rPr>
      <t xml:space="preserve">vs </t>
    </r>
    <r>
      <rPr>
        <sz val="9"/>
        <color rgb="FFFFFFFF"/>
        <rFont val="Noto Sans CJK KR"/>
        <family val="2"/>
      </rPr>
      <t xml:space="preserve">수익 </t>
    </r>
    <r>
      <rPr>
        <sz val="9"/>
        <color rgb="FFFFFFFF"/>
        <rFont val="Arial"/>
        <family val="2"/>
      </rPr>
      <t xml:space="preserve">| BEP | </t>
    </r>
    <r>
      <rPr>
        <sz val="9"/>
        <color rgb="FFFFFFFF"/>
        <rFont val="Noto Sans CJK KR"/>
        <family val="2"/>
      </rPr>
      <t xml:space="preserve">시간당 수익 </t>
    </r>
    <r>
      <rPr>
        <sz val="9"/>
        <color rgb="FFFFFFFF"/>
        <rFont val="Arial"/>
        <family val="2"/>
      </rPr>
      <t>| 5</t>
    </r>
    <r>
      <rPr>
        <sz val="9"/>
        <color rgb="FFFFFFFF"/>
        <rFont val="Noto Sans CJK KR"/>
        <family val="2"/>
      </rPr>
      <t xml:space="preserve">년 </t>
    </r>
    <r>
      <rPr>
        <sz val="9"/>
        <color rgb="FFFFFFFF"/>
        <rFont val="Arial"/>
        <family val="2"/>
      </rPr>
      <t>ROI</t>
    </r>
  </si>
  <si>
    <r>
      <rPr>
        <sz val="9"/>
        <color rgb="FFFFFFFF"/>
        <rFont val="Noto Sans CJK KR"/>
        <family val="2"/>
      </rPr>
      <t xml:space="preserve">💸 초기 투자 비용 </t>
    </r>
    <r>
      <rPr>
        <sz val="9"/>
        <color rgb="FFFFFFFF"/>
        <rFont val="Arial"/>
        <family val="2"/>
      </rPr>
      <t>(1</t>
    </r>
    <r>
      <rPr>
        <sz val="9"/>
        <color rgb="FFFFFFFF"/>
        <rFont val="Noto Sans CJK KR"/>
        <family val="2"/>
      </rPr>
      <t>회성</t>
    </r>
    <r>
      <rPr>
        <sz val="9"/>
        <color rgb="FFFFFFFF"/>
        <rFont val="Arial"/>
        <family val="2"/>
      </rPr>
      <t>)</t>
    </r>
  </si>
  <si>
    <r>
      <rPr>
        <b/>
        <sz val="10"/>
        <color rgb="FFFFFFFF"/>
        <rFont val="Noto Sans CJK KR"/>
        <family val="2"/>
      </rPr>
      <t>금액</t>
    </r>
    <r>
      <rPr>
        <b/>
        <sz val="10"/>
        <color rgb="FFFFFFFF"/>
        <rFont val="Arial"/>
        <family val="2"/>
      </rPr>
      <t>(₩)</t>
    </r>
  </si>
  <si>
    <t>비고</t>
  </si>
  <si>
    <r>
      <rPr>
        <sz val="10"/>
        <color rgb="FF000000"/>
        <rFont val="Arial"/>
        <family val="2"/>
      </rPr>
      <t xml:space="preserve">Shadowgram </t>
    </r>
    <r>
      <rPr>
        <sz val="10"/>
        <color rgb="FF000000"/>
        <rFont val="Noto Sans CJK KR"/>
        <family val="2"/>
      </rPr>
      <t xml:space="preserve">리포트 제작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완료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</si>
  <si>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이미 완성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 xml:space="preserve">추가 비용 </t>
    </r>
    <r>
      <rPr>
        <sz val="10"/>
        <color rgb="FF000000"/>
        <rFont val="Arial"/>
        <family val="2"/>
      </rPr>
      <t>0</t>
    </r>
  </si>
  <si>
    <r>
      <rPr>
        <sz val="10"/>
        <color rgb="FF000000"/>
        <rFont val="Arial"/>
        <family val="2"/>
      </rPr>
      <t xml:space="preserve">Hotmart </t>
    </r>
    <r>
      <rPr>
        <sz val="10"/>
        <color rgb="FF000000"/>
        <rFont val="Noto Sans CJK KR"/>
        <family val="2"/>
      </rPr>
      <t xml:space="preserve">계정 </t>
    </r>
    <r>
      <rPr>
        <sz val="10"/>
        <color rgb="FF000000"/>
        <rFont val="Arial"/>
        <family val="2"/>
      </rPr>
      <t xml:space="preserve">&amp; </t>
    </r>
    <r>
      <rPr>
        <sz val="10"/>
        <color rgb="FF000000"/>
        <rFont val="Noto Sans CJK KR"/>
        <family val="2"/>
      </rPr>
      <t>셋업</t>
    </r>
  </si>
  <si>
    <r>
      <rPr>
        <sz val="10"/>
        <color rgb="FF000000"/>
        <rFont val="Noto Sans CJK KR"/>
        <family val="2"/>
      </rPr>
      <t>무료 가입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수수료만 발생</t>
    </r>
  </si>
  <si>
    <r>
      <rPr>
        <sz val="10"/>
        <color rgb="FF000000"/>
        <rFont val="Noto Sans CJK KR"/>
        <family val="2"/>
      </rPr>
      <t xml:space="preserve">랜딩페이지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KR"/>
        <family val="2"/>
      </rPr>
      <t>검사페이지 제작</t>
    </r>
  </si>
  <si>
    <r>
      <rPr>
        <sz val="10"/>
        <color rgb="FF000000"/>
        <rFont val="Noto Sans CJK KR"/>
        <family val="2"/>
      </rPr>
      <t xml:space="preserve">외주 </t>
    </r>
    <r>
      <rPr>
        <sz val="10"/>
        <color rgb="FF000000"/>
        <rFont val="Arial"/>
        <family val="2"/>
      </rPr>
      <t xml:space="preserve">or </t>
    </r>
    <r>
      <rPr>
        <sz val="10"/>
        <color rgb="FF000000"/>
        <rFont val="Noto Sans CJK KR"/>
        <family val="2"/>
      </rPr>
      <t>클로드로 제작</t>
    </r>
  </si>
  <si>
    <r>
      <rPr>
        <sz val="10"/>
        <color rgb="FF000000"/>
        <rFont val="Noto Sans CJK KR"/>
        <family val="2"/>
      </rPr>
      <t xml:space="preserve">이메일 자동화 툴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 xml:space="preserve">월정액 </t>
    </r>
    <r>
      <rPr>
        <sz val="10"/>
        <color rgb="FF000000"/>
        <rFont val="Arial"/>
        <family val="2"/>
      </rPr>
      <t>× 12)</t>
    </r>
  </si>
  <si>
    <r>
      <rPr>
        <sz val="10"/>
        <color rgb="FF000000"/>
        <rFont val="Arial"/>
        <family val="2"/>
      </rPr>
      <t>ActiveCampaign $15/</t>
    </r>
    <r>
      <rPr>
        <sz val="10"/>
        <color rgb="FF000000"/>
        <rFont val="Noto Sans CJK KR"/>
        <family val="2"/>
      </rPr>
      <t xml:space="preserve">월 </t>
    </r>
    <r>
      <rPr>
        <sz val="10"/>
        <color rgb="FF000000"/>
        <rFont val="Arial"/>
        <family val="2"/>
      </rPr>
      <t>× 12</t>
    </r>
  </si>
  <si>
    <t>파트너 모집 키트 제작</t>
  </si>
  <si>
    <r>
      <rPr>
        <sz val="10"/>
        <color rgb="FF000000"/>
        <rFont val="Arial"/>
        <family val="2"/>
      </rPr>
      <t xml:space="preserve">PDF </t>
    </r>
    <r>
      <rPr>
        <sz val="10"/>
        <color rgb="FF000000"/>
        <rFont val="Noto Sans CJK KR"/>
        <family val="2"/>
      </rPr>
      <t xml:space="preserve">가이드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KR"/>
        <family val="2"/>
      </rPr>
      <t>프로모 자료</t>
    </r>
  </si>
  <si>
    <r>
      <rPr>
        <sz val="10"/>
        <color rgb="FF000000"/>
        <rFont val="Noto Sans CJK KR"/>
        <family val="2"/>
      </rPr>
      <t xml:space="preserve">초기 </t>
    </r>
    <r>
      <rPr>
        <sz val="10"/>
        <color rgb="FF000000"/>
        <rFont val="Arial"/>
        <family val="2"/>
      </rPr>
      <t xml:space="preserve">SNS </t>
    </r>
    <r>
      <rPr>
        <sz val="10"/>
        <color rgb="FF000000"/>
        <rFont val="Noto Sans CJK KR"/>
        <family val="2"/>
      </rPr>
      <t xml:space="preserve">광고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선택사항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</si>
  <si>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Noto Sans CJK KR"/>
        <family val="2"/>
      </rPr>
      <t>없어도 바이럴 가능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Noto Sans CJK KR"/>
        <family val="2"/>
      </rPr>
      <t>선택</t>
    </r>
  </si>
  <si>
    <t>기타 잡비</t>
  </si>
  <si>
    <r>
      <rPr>
        <sz val="10"/>
        <color rgb="FF000000"/>
        <rFont val="Noto Sans CJK KR"/>
        <family val="2"/>
      </rPr>
      <t>도메인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KR"/>
        <family val="2"/>
      </rPr>
      <t>이미지툴 등</t>
    </r>
  </si>
  <si>
    <t>💰 총 초기 투자</t>
  </si>
  <si>
    <r>
      <rPr>
        <sz val="9"/>
        <color rgb="FFFFFFFF"/>
        <rFont val="Noto Sans CJK KR"/>
        <family val="2"/>
      </rPr>
      <t xml:space="preserve">⏰ 손익분기 </t>
    </r>
    <r>
      <rPr>
        <sz val="9"/>
        <color rgb="FFFFFFFF"/>
        <rFont val="Arial"/>
        <family val="2"/>
      </rPr>
      <t>&amp; ROI</t>
    </r>
  </si>
  <si>
    <r>
      <rPr>
        <sz val="10"/>
        <color rgb="FF000000"/>
        <rFont val="Noto Sans CJK KR"/>
        <family val="2"/>
      </rPr>
      <t xml:space="preserve">총 초기 투자 </t>
    </r>
    <r>
      <rPr>
        <sz val="10"/>
        <color rgb="FF000000"/>
        <rFont val="Arial"/>
        <family val="2"/>
      </rPr>
      <t>(₩)</t>
    </r>
  </si>
  <si>
    <t>위 항목 합계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</si>
  <si>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 xml:space="preserve">개월차 월수익 </t>
    </r>
    <r>
      <rPr>
        <sz val="10"/>
        <color rgb="FF000000"/>
        <rFont val="Arial"/>
        <family val="2"/>
      </rPr>
      <t>(₩)</t>
    </r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</si>
  <si>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개월차 전국가 합산</t>
    </r>
  </si>
  <si>
    <t>손익분기 달성 월</t>
  </si>
  <si>
    <t>투자금 회수 시점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</si>
  <si>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 xml:space="preserve">년차 연간 수익 </t>
    </r>
    <r>
      <rPr>
        <sz val="10"/>
        <color rgb="FF000000"/>
        <rFont val="Arial"/>
        <family val="2"/>
      </rPr>
      <t>(₩)</t>
    </r>
  </si>
  <si>
    <r>
      <rPr>
        <sz val="10"/>
        <color rgb="FF000000"/>
        <rFont val="Arial"/>
        <family val="2"/>
      </rPr>
      <t>12</t>
    </r>
    <r>
      <rPr>
        <sz val="10"/>
        <color rgb="FF000000"/>
        <rFont val="Noto Sans CJK KR"/>
        <family val="2"/>
      </rPr>
      <t>개월 합산</t>
    </r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</si>
  <si>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 xml:space="preserve">년차 </t>
    </r>
    <r>
      <rPr>
        <sz val="10"/>
        <color rgb="FF000000"/>
        <rFont val="Arial"/>
        <family val="2"/>
      </rPr>
      <t>ROI (%)</t>
    </r>
  </si>
  <si>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수익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KR"/>
        <family val="2"/>
      </rPr>
      <t>투자</t>
    </r>
    <r>
      <rPr>
        <sz val="10"/>
        <color rgb="FF000000"/>
        <rFont val="Arial"/>
        <family val="2"/>
      </rPr>
      <t>)/</t>
    </r>
    <r>
      <rPr>
        <sz val="10"/>
        <color rgb="FF000000"/>
        <rFont val="Noto Sans CJK KR"/>
        <family val="2"/>
      </rPr>
      <t>투자</t>
    </r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</si>
  <si>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 xml:space="preserve">년 누적 수익 </t>
    </r>
    <r>
      <rPr>
        <sz val="10"/>
        <color rgb="FF000000"/>
        <rFont val="Arial"/>
        <family val="2"/>
      </rPr>
      <t>(₩)</t>
    </r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</si>
  <si>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>년 전체 합산</t>
    </r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</si>
  <si>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 xml:space="preserve">년 </t>
    </r>
    <r>
      <rPr>
        <sz val="10"/>
        <color rgb="FF000000"/>
        <rFont val="Arial"/>
        <family val="2"/>
      </rPr>
      <t>ROI (%)</t>
    </r>
  </si>
  <si>
    <r>
      <rPr>
        <sz val="10"/>
        <color rgb="FF000000"/>
        <rFont val="Arial"/>
        <family val="2"/>
      </rPr>
      <t>5</t>
    </r>
    <r>
      <rPr>
        <sz val="10"/>
        <color rgb="FF000000"/>
        <rFont val="Noto Sans CJK KR"/>
        <family val="2"/>
      </rPr>
      <t>년 기준</t>
    </r>
  </si>
  <si>
    <r>
      <rPr>
        <sz val="10"/>
        <color rgb="FF000000"/>
        <rFont val="Noto Sans CJK KR"/>
        <family val="2"/>
      </rPr>
      <t xml:space="preserve">월 평균 시간투자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KR"/>
        <family val="2"/>
      </rPr>
      <t>시간</t>
    </r>
    <r>
      <rPr>
        <sz val="10"/>
        <color rgb="FF000000"/>
        <rFont val="Arial"/>
        <family val="2"/>
      </rPr>
      <t>)</t>
    </r>
  </si>
  <si>
    <t>파트너 채널 체크 등</t>
  </si>
  <si>
    <r>
      <rPr>
        <sz val="10"/>
        <color rgb="FF000000"/>
        <rFont val="Noto Sans CJK KR"/>
        <family val="2"/>
      </rPr>
      <t xml:space="preserve">시간당 수익 </t>
    </r>
    <r>
      <rPr>
        <sz val="10"/>
        <color rgb="FF000000"/>
        <rFont val="Arial"/>
        <family val="2"/>
      </rPr>
      <t>(₩/</t>
    </r>
    <r>
      <rPr>
        <sz val="10"/>
        <color rgb="FF000000"/>
        <rFont val="Noto Sans CJK KR"/>
        <family val="2"/>
      </rPr>
      <t>시간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</si>
  <si>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년차 기준</t>
    </r>
  </si>
  <si>
    <r>
      <rPr>
        <sz val="9"/>
        <color rgb="FFFFFFFF"/>
        <rFont val="Noto Sans CJK KR"/>
        <family val="2"/>
      </rPr>
      <t xml:space="preserve">✅ 자동화 셋업 체크리스트 </t>
    </r>
    <r>
      <rPr>
        <sz val="9"/>
        <color rgb="FFFFFFFF"/>
        <rFont val="Arial"/>
        <family val="2"/>
      </rPr>
      <t>(1</t>
    </r>
    <r>
      <rPr>
        <sz val="9"/>
        <color rgb="FFFFFFFF"/>
        <rFont val="Noto Sans CJK KR"/>
        <family val="2"/>
      </rPr>
      <t>회만 하면 끝</t>
    </r>
    <r>
      <rPr>
        <sz val="9"/>
        <color rgb="FFFFFFFF"/>
        <rFont val="Arial"/>
        <family val="2"/>
      </rPr>
      <t>)</t>
    </r>
  </si>
  <si>
    <t>상태</t>
  </si>
  <si>
    <t>소요시간</t>
  </si>
  <si>
    <t>이후 개입</t>
  </si>
  <si>
    <r>
      <rPr>
        <sz val="10"/>
        <color rgb="FF000000"/>
        <rFont val="Arial"/>
        <family val="2"/>
      </rPr>
      <t xml:space="preserve">Hotmart </t>
    </r>
    <r>
      <rPr>
        <sz val="10"/>
        <color rgb="FF000000"/>
        <rFont val="Noto Sans CJK KR"/>
        <family val="2"/>
      </rPr>
      <t xml:space="preserve">상품 등록 </t>
    </r>
    <r>
      <rPr>
        <sz val="10"/>
        <color rgb="FF000000"/>
        <rFont val="Arial"/>
        <family val="2"/>
      </rPr>
      <t>(T1/T2/T3 × 3</t>
    </r>
    <r>
      <rPr>
        <sz val="10"/>
        <color rgb="FF000000"/>
        <rFont val="Noto Sans CJK KR"/>
        <family val="2"/>
      </rPr>
      <t>번들</t>
    </r>
    <r>
      <rPr>
        <sz val="10"/>
        <color rgb="FF000000"/>
        <rFont val="Arial"/>
        <family val="2"/>
      </rPr>
      <t>)</t>
    </r>
  </si>
  <si>
    <t>□ 예정</t>
  </si>
  <si>
    <r>
      <rPr>
        <sz val="10"/>
        <color rgb="FF000000"/>
        <rFont val="Arial"/>
        <family val="2"/>
      </rPr>
      <t>2</t>
    </r>
    <r>
      <rPr>
        <sz val="10"/>
        <color rgb="FF000000"/>
        <rFont val="Noto Sans CJK KR"/>
        <family val="2"/>
      </rPr>
      <t>시간</t>
    </r>
  </si>
  <si>
    <r>
      <rPr>
        <sz val="10"/>
        <color rgb="FF000000"/>
        <rFont val="Arial"/>
        <family val="2"/>
      </rPr>
      <t>0</t>
    </r>
    <r>
      <rPr>
        <sz val="10"/>
        <color rgb="FF000000"/>
        <rFont val="Noto Sans CJK KR"/>
        <family val="2"/>
      </rPr>
      <t>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월</t>
    </r>
  </si>
  <si>
    <r>
      <rPr>
        <sz val="10"/>
        <color rgb="FF000000"/>
        <rFont val="Arial"/>
        <family val="2"/>
      </rPr>
      <t xml:space="preserve">OTO </t>
    </r>
    <r>
      <rPr>
        <sz val="10"/>
        <color rgb="FF000000"/>
        <rFont val="Noto Sans CJK KR"/>
        <family val="2"/>
      </rPr>
      <t xml:space="preserve">페이지 연결 </t>
    </r>
    <r>
      <rPr>
        <sz val="10"/>
        <color rgb="FF000000"/>
        <rFont val="Arial"/>
        <family val="2"/>
      </rPr>
      <t>(T1</t>
    </r>
    <r>
      <rPr>
        <sz val="10"/>
        <color rgb="FF000000"/>
        <rFont val="Noto Sans CJK KR"/>
        <family val="2"/>
      </rPr>
      <t xml:space="preserve">구매 → </t>
    </r>
    <r>
      <rPr>
        <sz val="10"/>
        <color rgb="FF000000"/>
        <rFont val="Arial"/>
        <family val="2"/>
      </rPr>
      <t>T2</t>
    </r>
    <r>
      <rPr>
        <sz val="10"/>
        <color rgb="FF000000"/>
        <rFont val="Noto Sans CJK KR"/>
        <family val="2"/>
      </rPr>
      <t>자동팝업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</si>
  <si>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시간</t>
    </r>
  </si>
  <si>
    <r>
      <rPr>
        <sz val="10"/>
        <color rgb="FF000000"/>
        <rFont val="Noto Sans CJK KR"/>
        <family val="2"/>
      </rPr>
      <t xml:space="preserve">이메일 시퀀스 </t>
    </r>
    <r>
      <rPr>
        <sz val="10"/>
        <color rgb="FF000000"/>
        <rFont val="Arial"/>
        <family val="2"/>
      </rPr>
      <t>7</t>
    </r>
    <r>
      <rPr>
        <sz val="10"/>
        <color rgb="FF000000"/>
        <rFont val="Noto Sans CJK KR"/>
        <family val="2"/>
      </rPr>
      <t xml:space="preserve">일 세팅 </t>
    </r>
    <r>
      <rPr>
        <sz val="10"/>
        <color rgb="FF000000"/>
        <rFont val="Arial"/>
        <family val="2"/>
      </rPr>
      <t xml:space="preserve">(T3 </t>
    </r>
    <r>
      <rPr>
        <sz val="10"/>
        <color rgb="FF000000"/>
        <rFont val="Noto Sans CJK KR"/>
        <family val="2"/>
      </rPr>
      <t>업셀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</si>
  <si>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>3</t>
    </r>
    <r>
      <rPr>
        <sz val="10"/>
        <color rgb="FF000000"/>
        <rFont val="Noto Sans CJK KR"/>
        <family val="2"/>
      </rPr>
      <t>시간</t>
    </r>
  </si>
  <si>
    <r>
      <rPr>
        <sz val="10"/>
        <color rgb="FF000000"/>
        <rFont val="Noto Sans CJK KR"/>
        <family val="2"/>
      </rPr>
      <t xml:space="preserve">파트너 모집 페이지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KR"/>
        <family val="2"/>
      </rPr>
      <t xml:space="preserve">가이드 </t>
    </r>
    <r>
      <rPr>
        <sz val="10"/>
        <color rgb="FF000000"/>
        <rFont val="Arial"/>
        <family val="2"/>
      </rPr>
      <t>PDF</t>
    </r>
  </si>
  <si>
    <r>
      <rPr>
        <sz val="10"/>
        <color rgb="FF000000"/>
        <rFont val="Arial"/>
        <family val="2"/>
      </rPr>
      <t>4</t>
    </r>
    <r>
      <rPr>
        <sz val="10"/>
        <color rgb="FF000000"/>
        <rFont val="Noto Sans CJK KR"/>
        <family val="2"/>
      </rPr>
      <t>시간</t>
    </r>
  </si>
  <si>
    <r>
      <rPr>
        <sz val="10"/>
        <color rgb="FF000000"/>
        <rFont val="Arial"/>
        <family val="2"/>
      </rPr>
      <t xml:space="preserve">?ref= </t>
    </r>
    <r>
      <rPr>
        <sz val="10"/>
        <color rgb="FF000000"/>
        <rFont val="Noto Sans CJK KR"/>
        <family val="2"/>
      </rPr>
      <t>파트너 트래킹 링크 설정</t>
    </r>
  </si>
  <si>
    <t>국가별 파트너 텔레그램 채널 개설</t>
  </si>
  <si>
    <r>
      <rPr>
        <sz val="10"/>
        <color rgb="FF000000"/>
        <rFont val="Arial"/>
        <family val="2"/>
      </rPr>
      <t>30</t>
    </r>
    <r>
      <rPr>
        <sz val="10"/>
        <color rgb="FF000000"/>
        <rFont val="Noto Sans CJK KR"/>
        <family val="2"/>
      </rPr>
      <t>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월</t>
    </r>
  </si>
  <si>
    <r>
      <rPr>
        <sz val="10"/>
        <color rgb="FF000000"/>
        <rFont val="Noto Sans CJK KR"/>
        <family val="2"/>
      </rPr>
      <t xml:space="preserve">월 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회 파트너 뉴스레터 템플릿 작성</t>
    </r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</si>
  <si>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KR"/>
        <family val="2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월</t>
    </r>
  </si>
  <si>
    <r>
      <rPr>
        <sz val="10"/>
        <color rgb="FF000000"/>
        <rFont val="Arial"/>
        <family val="2"/>
      </rPr>
      <t xml:space="preserve">Hotmart </t>
    </r>
    <r>
      <rPr>
        <sz val="10"/>
        <color rgb="FF000000"/>
        <rFont val="Noto Sans CJK KR"/>
        <family val="2"/>
      </rPr>
      <t>대시보드 월간 리뷰</t>
    </r>
  </si>
  <si>
    <t>—</t>
  </si>
  <si>
    <r>
      <rPr>
        <sz val="10"/>
        <color rgb="FF000000"/>
        <rFont val="Arial"/>
        <family val="2"/>
      </rPr>
      <t>2</t>
    </r>
    <r>
      <rPr>
        <sz val="10"/>
        <color rgb="FF000000"/>
        <rFont val="Noto Sans CJK KR"/>
        <family val="2"/>
      </rPr>
      <t>시간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KR"/>
        <family val="2"/>
      </rPr>
      <t>월</t>
    </r>
  </si>
  <si>
    <r>
      <rPr>
        <b/>
        <sz val="10"/>
        <color rgb="FF000000"/>
        <rFont val="Noto Sans CJK KR"/>
        <family val="2"/>
      </rPr>
      <t xml:space="preserve">🕐 총 셋업 시간 </t>
    </r>
    <r>
      <rPr>
        <b/>
        <sz val="10"/>
        <color rgb="FF000000"/>
        <rFont val="Arial"/>
        <family val="2"/>
      </rPr>
      <t>(1</t>
    </r>
    <r>
      <rPr>
        <b/>
        <sz val="10"/>
        <color rgb="FF000000"/>
        <rFont val="Noto Sans CJK KR"/>
        <family val="2"/>
      </rPr>
      <t>회성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</si>
  <si>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1F4E79"/>
        <rFont val="Arial"/>
        <family val="2"/>
      </rPr>
      <t>15</t>
    </r>
    <r>
      <rPr>
        <b/>
        <sz val="10"/>
        <color rgb="FF1F4E79"/>
        <rFont val="Noto Sans CJK KR"/>
        <family val="2"/>
      </rPr>
      <t xml:space="preserve">시간 </t>
    </r>
    <r>
      <rPr>
        <b/>
        <sz val="10"/>
        <color rgb="FF1F4E79"/>
        <rFont val="Arial"/>
        <family val="2"/>
      </rPr>
      <t>(</t>
    </r>
    <r>
      <rPr>
        <b/>
        <sz val="10"/>
        <color rgb="FF1F4E79"/>
        <rFont val="Noto Sans CJK KR"/>
        <family val="2"/>
      </rPr>
      <t xml:space="preserve">약 </t>
    </r>
    <r>
      <rPr>
        <b/>
        <sz val="10"/>
        <color rgb="FF1F4E79"/>
        <rFont val="Arial"/>
        <family val="2"/>
      </rPr>
      <t>2</t>
    </r>
    <r>
      <rPr>
        <b/>
        <sz val="10"/>
        <color rgb="FF1F4E79"/>
        <rFont val="Noto Sans CJK KR"/>
        <family val="2"/>
      </rPr>
      <t>일</t>
    </r>
    <r>
      <rPr>
        <b/>
        <sz val="10"/>
        <color rgb="FF1F4E79"/>
        <rFont val="Arial"/>
        <family val="2"/>
      </rPr>
      <t>)</t>
    </r>
  </si>
  <si>
    <r>
      <rPr>
        <sz val="10"/>
        <color rgb="FF000000"/>
        <rFont val="Noto Sans CJK KR"/>
        <family val="2"/>
      </rPr>
      <t xml:space="preserve">이후 월 </t>
    </r>
    <r>
      <rPr>
        <sz val="10"/>
        <color rgb="FF000000"/>
        <rFont val="Arial"/>
        <family val="2"/>
      </rPr>
      <t>3~4</t>
    </r>
    <r>
      <rPr>
        <sz val="10"/>
        <color rgb="FF000000"/>
        <rFont val="Noto Sans CJK KR"/>
        <family val="2"/>
      </rPr>
      <t>시간으로 전체 운영 가능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</si>
</sst>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.00"/>
    <numFmt numFmtId="177" formatCode="0.0%"/>
    <numFmt numFmtId="178" formatCode="#,##0&quot;원&quot;"/>
    <numFmt numFmtId="179" formatCode="#,##0&quot;명&quot;"/>
    <numFmt numFmtId="180" formatCode="#,##0&quot;명/월&quot;"/>
    <numFmt numFmtId="181" formatCode="0.00\x"/>
    <numFmt numFmtId="182" formatCode="\$#,##0"/>
    <numFmt numFmtId="183" formatCode="0.0\x"/>
    <numFmt numFmtId="184" formatCode="#,##0&quot;개월차&quot;"/>
    <numFmt numFmtId="185" formatCode="#,##0&quot;시간&quot;"/>
    <numFmt numFmtId="186" formatCode="#,##0&quot;원/시간&quot;"/>
  </numFmts>
  <fonts count="22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2"/>
      <color rgb="FFFFFFFF"/>
      <name val="Noto Sans CJK KR"/>
      <family val="2"/>
    </font>
    <font>
      <sz val="9"/>
      <color rgb="FFFFFFFF"/>
      <name val="Noto Sans CJK KR"/>
      <family val="2"/>
    </font>
    <font>
      <sz val="9"/>
      <color rgb="FFFFFFFF"/>
      <name val="Arial"/>
      <family val="2"/>
    </font>
    <font>
      <b/>
      <sz val="10"/>
      <color rgb="FFFFFFFF"/>
      <name val="Noto Sans CJK KR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Noto Sans CJK KR"/>
      <family val="2"/>
    </font>
    <font>
      <sz val="10"/>
      <color rgb="FF0000FF"/>
      <name val="Arial"/>
      <family val="2"/>
    </font>
    <font>
      <b/>
      <sz val="11"/>
      <color rgb="FFFF6B00"/>
      <name val="Arial"/>
      <family val="2"/>
    </font>
    <font>
      <sz val="10"/>
      <color rgb="FF008000"/>
      <name val="Arial"/>
      <family val="2"/>
    </font>
    <font>
      <b/>
      <sz val="10"/>
      <color rgb="FF000000"/>
      <name val="Noto Sans CJK KR"/>
      <family val="2"/>
    </font>
    <font>
      <b/>
      <sz val="10"/>
      <color rgb="FF000000"/>
      <name val="Arial"/>
      <family val="2"/>
    </font>
    <font>
      <b/>
      <sz val="10"/>
      <color rgb="FF00660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Noto Sans CJK KR"/>
      <family val="2"/>
    </font>
    <font>
      <sz val="10"/>
      <color rgb="FF555555"/>
      <name val="Arial"/>
      <family val="2"/>
    </font>
    <font>
      <sz val="10"/>
      <color rgb="FF006600"/>
      <name val="Noto Sans CJK KR"/>
      <family val="2"/>
    </font>
    <font>
      <b/>
      <sz val="10"/>
      <color rgb="FF1F4E79"/>
      <name val="Arial"/>
      <family val="2"/>
    </font>
    <font>
      <b/>
      <sz val="10"/>
      <color rgb="FF1F4E79"/>
      <name val="Noto Sans CJK KR"/>
      <family val="2"/>
    </font>
    <font>
      <sz val="8"/>
      <name val="나눔명조"/>
      <family val="3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0F4FF"/>
        <bgColor rgb="FFEBF3FB"/>
      </patternFill>
    </fill>
    <fill>
      <patternFill patternType="solid">
        <fgColor rgb="FFEBF3FB"/>
        <bgColor rgb="FFF0F4FF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0F4FF"/>
      </patternFill>
    </fill>
    <fill>
      <patternFill patternType="solid">
        <fgColor rgb="FFE8F5E9"/>
        <bgColor rgb="FFEBF3FB"/>
      </patternFill>
    </fill>
    <fill>
      <patternFill patternType="solid">
        <fgColor rgb="FFFFFDE7"/>
        <bgColor rgb="FFF8F8F8"/>
      </patternFill>
    </fill>
    <fill>
      <patternFill patternType="solid">
        <fgColor rgb="FFEDE7F6"/>
        <bgColor rgb="FFEBF3FB"/>
      </patternFill>
    </fill>
    <fill>
      <patternFill patternType="solid">
        <fgColor rgb="FFE3F2FD"/>
        <bgColor rgb="FFEBF3FB"/>
      </patternFill>
    </fill>
    <fill>
      <patternFill patternType="solid">
        <fgColor rgb="FFFFEBEE"/>
        <bgColor rgb="FFFCE4D6"/>
      </patternFill>
    </fill>
    <fill>
      <patternFill patternType="solid">
        <fgColor rgb="FF404040"/>
        <bgColor rgb="FF55555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BEE"/>
      </patternFill>
    </fill>
    <fill>
      <patternFill patternType="solid">
        <fgColor rgb="FFDDEEFF"/>
        <bgColor rgb="FFE3F2FD"/>
      </patternFill>
    </fill>
    <fill>
      <patternFill patternType="solid">
        <fgColor rgb="FFFFD966"/>
        <bgColor rgb="FFFFC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76" fontId="9" fillId="5" borderId="1" xfId="0" applyNumberFormat="1" applyFont="1" applyFill="1" applyBorder="1" applyAlignment="1">
      <alignment horizontal="right" vertical="center"/>
    </xf>
    <xf numFmtId="177" fontId="9" fillId="5" borderId="1" xfId="0" applyNumberFormat="1" applyFont="1" applyFill="1" applyBorder="1" applyAlignment="1">
      <alignment horizontal="right" vertical="center"/>
    </xf>
    <xf numFmtId="9" fontId="9" fillId="5" borderId="1" xfId="0" applyNumberFormat="1" applyFont="1" applyFill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178" fontId="9" fillId="5" borderId="1" xfId="0" applyNumberFormat="1" applyFont="1" applyFill="1" applyBorder="1" applyAlignment="1">
      <alignment horizontal="right" vertical="center"/>
    </xf>
    <xf numFmtId="0" fontId="8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179" fontId="9" fillId="5" borderId="1" xfId="0" applyNumberFormat="1" applyFont="1" applyFill="1" applyBorder="1" applyAlignment="1">
      <alignment horizontal="right" vertical="center"/>
    </xf>
    <xf numFmtId="180" fontId="9" fillId="5" borderId="1" xfId="0" applyNumberFormat="1" applyFont="1" applyFill="1" applyBorder="1" applyAlignment="1">
      <alignment horizontal="right" vertical="center"/>
    </xf>
    <xf numFmtId="179" fontId="7" fillId="0" borderId="1" xfId="0" applyNumberFormat="1" applyFont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179" fontId="6" fillId="2" borderId="1" xfId="0" applyNumberFormat="1" applyFont="1" applyFill="1" applyBorder="1" applyAlignment="1">
      <alignment horizontal="right" vertical="center"/>
    </xf>
    <xf numFmtId="180" fontId="6" fillId="2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 wrapText="1"/>
    </xf>
    <xf numFmtId="181" fontId="7" fillId="0" borderId="1" xfId="0" applyNumberFormat="1" applyFont="1" applyBorder="1" applyAlignment="1">
      <alignment horizontal="right" vertical="center"/>
    </xf>
    <xf numFmtId="3" fontId="7" fillId="8" borderId="1" xfId="0" applyNumberFormat="1" applyFont="1" applyFill="1" applyBorder="1" applyAlignment="1">
      <alignment horizontal="right" vertical="center"/>
    </xf>
    <xf numFmtId="176" fontId="7" fillId="8" borderId="1" xfId="0" applyNumberFormat="1" applyFont="1" applyFill="1" applyBorder="1" applyAlignment="1">
      <alignment horizontal="right" vertical="center"/>
    </xf>
    <xf numFmtId="176" fontId="6" fillId="2" borderId="1" xfId="0" applyNumberFormat="1" applyFont="1" applyFill="1" applyBorder="1" applyAlignment="1">
      <alignment horizontal="right" vertical="center"/>
    </xf>
    <xf numFmtId="178" fontId="6" fillId="2" borderId="1" xfId="0" applyNumberFormat="1" applyFont="1" applyFill="1" applyBorder="1" applyAlignment="1">
      <alignment horizontal="right" vertical="center"/>
    </xf>
    <xf numFmtId="178" fontId="6" fillId="13" borderId="1" xfId="0" applyNumberFormat="1" applyFont="1" applyFill="1" applyBorder="1" applyAlignment="1">
      <alignment horizontal="right" vertical="center"/>
    </xf>
    <xf numFmtId="3" fontId="7" fillId="9" borderId="1" xfId="0" applyNumberFormat="1" applyFont="1" applyFill="1" applyBorder="1" applyAlignment="1">
      <alignment horizontal="right" vertical="center"/>
    </xf>
    <xf numFmtId="176" fontId="7" fillId="9" borderId="1" xfId="0" applyNumberFormat="1" applyFont="1" applyFill="1" applyBorder="1" applyAlignment="1">
      <alignment horizontal="right" vertical="center"/>
    </xf>
    <xf numFmtId="3" fontId="7" fillId="10" borderId="1" xfId="0" applyNumberFormat="1" applyFont="1" applyFill="1" applyBorder="1" applyAlignment="1">
      <alignment horizontal="right" vertical="center"/>
    </xf>
    <xf numFmtId="176" fontId="7" fillId="10" borderId="1" xfId="0" applyNumberFormat="1" applyFont="1" applyFill="1" applyBorder="1" applyAlignment="1">
      <alignment horizontal="right" vertical="center"/>
    </xf>
    <xf numFmtId="3" fontId="7" fillId="11" borderId="1" xfId="0" applyNumberFormat="1" applyFont="1" applyFill="1" applyBorder="1" applyAlignment="1">
      <alignment horizontal="right" vertical="center"/>
    </xf>
    <xf numFmtId="176" fontId="7" fillId="11" borderId="1" xfId="0" applyNumberFormat="1" applyFont="1" applyFill="1" applyBorder="1" applyAlignment="1">
      <alignment horizontal="right" vertical="center"/>
    </xf>
    <xf numFmtId="3" fontId="7" fillId="12" borderId="1" xfId="0" applyNumberFormat="1" applyFont="1" applyFill="1" applyBorder="1" applyAlignment="1">
      <alignment horizontal="right" vertical="center"/>
    </xf>
    <xf numFmtId="176" fontId="7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horizontal="left" vertical="center" wrapText="1"/>
    </xf>
    <xf numFmtId="179" fontId="11" fillId="5" borderId="1" xfId="0" applyNumberFormat="1" applyFont="1" applyFill="1" applyBorder="1" applyAlignment="1">
      <alignment horizontal="right" vertical="center"/>
    </xf>
    <xf numFmtId="179" fontId="11" fillId="14" borderId="1" xfId="0" applyNumberFormat="1" applyFont="1" applyFill="1" applyBorder="1" applyAlignment="1">
      <alignment horizontal="right" vertical="center"/>
    </xf>
    <xf numFmtId="179" fontId="11" fillId="10" borderId="1" xfId="0" applyNumberFormat="1" applyFont="1" applyFill="1" applyBorder="1" applyAlignment="1">
      <alignment horizontal="right" vertical="center"/>
    </xf>
    <xf numFmtId="182" fontId="11" fillId="5" borderId="1" xfId="0" applyNumberFormat="1" applyFont="1" applyFill="1" applyBorder="1" applyAlignment="1">
      <alignment horizontal="right" vertical="center"/>
    </xf>
    <xf numFmtId="182" fontId="11" fillId="15" borderId="1" xfId="0" applyNumberFormat="1" applyFont="1" applyFill="1" applyBorder="1" applyAlignment="1">
      <alignment horizontal="right" vertical="center"/>
    </xf>
    <xf numFmtId="182" fontId="11" fillId="14" borderId="1" xfId="0" applyNumberFormat="1" applyFont="1" applyFill="1" applyBorder="1" applyAlignment="1">
      <alignment horizontal="right" vertical="center"/>
    </xf>
    <xf numFmtId="182" fontId="11" fillId="16" borderId="1" xfId="0" applyNumberFormat="1" applyFont="1" applyFill="1" applyBorder="1" applyAlignment="1">
      <alignment horizontal="right" vertical="center"/>
    </xf>
    <xf numFmtId="182" fontId="11" fillId="10" borderId="1" xfId="0" applyNumberFormat="1" applyFont="1" applyFill="1" applyBorder="1" applyAlignment="1">
      <alignment horizontal="right" vertical="center"/>
    </xf>
    <xf numFmtId="0" fontId="12" fillId="6" borderId="1" xfId="0" applyFont="1" applyFill="1" applyBorder="1" applyAlignment="1">
      <alignment horizontal="left" vertical="center" wrapText="1"/>
    </xf>
    <xf numFmtId="178" fontId="11" fillId="5" borderId="1" xfId="0" applyNumberFormat="1" applyFont="1" applyFill="1" applyBorder="1" applyAlignment="1">
      <alignment horizontal="right" vertical="center"/>
    </xf>
    <xf numFmtId="178" fontId="11" fillId="14" borderId="1" xfId="0" applyNumberFormat="1" applyFont="1" applyFill="1" applyBorder="1" applyAlignment="1">
      <alignment horizontal="right" vertical="center"/>
    </xf>
    <xf numFmtId="178" fontId="11" fillId="15" borderId="1" xfId="0" applyNumberFormat="1" applyFont="1" applyFill="1" applyBorder="1" applyAlignment="1">
      <alignment horizontal="right" vertical="center"/>
    </xf>
    <xf numFmtId="178" fontId="11" fillId="17" borderId="1" xfId="0" applyNumberFormat="1" applyFont="1" applyFill="1" applyBorder="1" applyAlignment="1">
      <alignment horizontal="right" vertical="center"/>
    </xf>
    <xf numFmtId="178" fontId="11" fillId="16" borderId="1" xfId="0" applyNumberFormat="1" applyFont="1" applyFill="1" applyBorder="1" applyAlignment="1">
      <alignment horizontal="right" vertical="center"/>
    </xf>
    <xf numFmtId="178" fontId="11" fillId="10" borderId="1" xfId="0" applyNumberFormat="1" applyFont="1" applyFill="1" applyBorder="1" applyAlignment="1">
      <alignment horizontal="right" vertical="center"/>
    </xf>
    <xf numFmtId="176" fontId="11" fillId="5" borderId="1" xfId="0" applyNumberFormat="1" applyFont="1" applyFill="1" applyBorder="1" applyAlignment="1">
      <alignment horizontal="right" vertical="center"/>
    </xf>
    <xf numFmtId="176" fontId="11" fillId="15" borderId="1" xfId="0" applyNumberFormat="1" applyFont="1" applyFill="1" applyBorder="1" applyAlignment="1">
      <alignment horizontal="right" vertical="center"/>
    </xf>
    <xf numFmtId="176" fontId="11" fillId="14" borderId="1" xfId="0" applyNumberFormat="1" applyFont="1" applyFill="1" applyBorder="1" applyAlignment="1">
      <alignment horizontal="right" vertical="center"/>
    </xf>
    <xf numFmtId="176" fontId="11" fillId="16" borderId="1" xfId="0" applyNumberFormat="1" applyFont="1" applyFill="1" applyBorder="1" applyAlignment="1">
      <alignment horizontal="right" vertical="center"/>
    </xf>
    <xf numFmtId="176" fontId="11" fillId="10" borderId="1" xfId="0" applyNumberFormat="1" applyFont="1" applyFill="1" applyBorder="1" applyAlignment="1">
      <alignment horizontal="right" vertical="center"/>
    </xf>
    <xf numFmtId="177" fontId="11" fillId="5" borderId="1" xfId="0" applyNumberFormat="1" applyFont="1" applyFill="1" applyBorder="1" applyAlignment="1">
      <alignment horizontal="right" vertical="center"/>
    </xf>
    <xf numFmtId="177" fontId="11" fillId="15" borderId="1" xfId="0" applyNumberFormat="1" applyFont="1" applyFill="1" applyBorder="1" applyAlignment="1">
      <alignment horizontal="right" vertical="center"/>
    </xf>
    <xf numFmtId="177" fontId="11" fillId="14" borderId="1" xfId="0" applyNumberFormat="1" applyFont="1" applyFill="1" applyBorder="1" applyAlignment="1">
      <alignment horizontal="right" vertical="center"/>
    </xf>
    <xf numFmtId="177" fontId="11" fillId="16" borderId="1" xfId="0" applyNumberFormat="1" applyFont="1" applyFill="1" applyBorder="1" applyAlignment="1">
      <alignment horizontal="right" vertical="center"/>
    </xf>
    <xf numFmtId="177" fontId="11" fillId="10" borderId="1" xfId="0" applyNumberFormat="1" applyFont="1" applyFill="1" applyBorder="1" applyAlignment="1">
      <alignment horizontal="right" vertical="center"/>
    </xf>
    <xf numFmtId="0" fontId="8" fillId="15" borderId="1" xfId="0" applyFont="1" applyFill="1" applyBorder="1" applyAlignment="1">
      <alignment horizontal="left" vertical="center" wrapText="1"/>
    </xf>
    <xf numFmtId="183" fontId="9" fillId="5" borderId="1" xfId="0" applyNumberFormat="1" applyFont="1" applyFill="1" applyBorder="1" applyAlignment="1">
      <alignment horizontal="right" vertical="center"/>
    </xf>
    <xf numFmtId="0" fontId="8" fillId="17" borderId="1" xfId="0" applyFont="1" applyFill="1" applyBorder="1" applyAlignment="1">
      <alignment horizontal="left" vertical="center" wrapText="1"/>
    </xf>
    <xf numFmtId="0" fontId="8" fillId="16" borderId="1" xfId="0" applyFont="1" applyFill="1" applyBorder="1" applyAlignment="1">
      <alignment horizontal="left" vertical="center" wrapText="1"/>
    </xf>
    <xf numFmtId="0" fontId="8" fillId="1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178" fontId="13" fillId="5" borderId="1" xfId="0" applyNumberFormat="1" applyFont="1" applyFill="1" applyBorder="1" applyAlignment="1">
      <alignment horizontal="right" vertical="center"/>
    </xf>
    <xf numFmtId="0" fontId="17" fillId="15" borderId="1" xfId="0" applyFont="1" applyFill="1" applyBorder="1" applyAlignment="1">
      <alignment horizontal="center" vertical="center" wrapText="1"/>
    </xf>
    <xf numFmtId="179" fontId="11" fillId="15" borderId="1" xfId="0" applyNumberFormat="1" applyFont="1" applyFill="1" applyBorder="1" applyAlignment="1">
      <alignment horizontal="right" vertical="center"/>
    </xf>
    <xf numFmtId="178" fontId="13" fillId="15" borderId="1" xfId="0" applyNumberFormat="1" applyFont="1" applyFill="1" applyBorder="1" applyAlignment="1">
      <alignment horizontal="right" vertical="center"/>
    </xf>
    <xf numFmtId="0" fontId="17" fillId="14" borderId="1" xfId="0" applyFont="1" applyFill="1" applyBorder="1" applyAlignment="1">
      <alignment horizontal="center" vertical="center" wrapText="1"/>
    </xf>
    <xf numFmtId="178" fontId="13" fillId="14" borderId="1" xfId="0" applyNumberFormat="1" applyFont="1" applyFill="1" applyBorder="1" applyAlignment="1">
      <alignment horizontal="right" vertical="center"/>
    </xf>
    <xf numFmtId="0" fontId="17" fillId="16" borderId="1" xfId="0" applyFont="1" applyFill="1" applyBorder="1" applyAlignment="1">
      <alignment horizontal="center" vertical="center" wrapText="1"/>
    </xf>
    <xf numFmtId="179" fontId="11" fillId="16" borderId="1" xfId="0" applyNumberFormat="1" applyFont="1" applyFill="1" applyBorder="1" applyAlignment="1">
      <alignment horizontal="right" vertical="center"/>
    </xf>
    <xf numFmtId="178" fontId="13" fillId="16" borderId="1" xfId="0" applyNumberFormat="1" applyFont="1" applyFill="1" applyBorder="1" applyAlignment="1">
      <alignment horizontal="right" vertical="center"/>
    </xf>
    <xf numFmtId="0" fontId="17" fillId="10" borderId="1" xfId="0" applyFont="1" applyFill="1" applyBorder="1" applyAlignment="1">
      <alignment horizontal="center" vertical="center" wrapText="1"/>
    </xf>
    <xf numFmtId="178" fontId="13" fillId="10" borderId="1" xfId="0" applyNumberFormat="1" applyFont="1" applyFill="1" applyBorder="1" applyAlignment="1">
      <alignment horizontal="right" vertical="center"/>
    </xf>
    <xf numFmtId="178" fontId="11" fillId="0" borderId="1" xfId="0" applyNumberFormat="1" applyFont="1" applyBorder="1" applyAlignment="1">
      <alignment horizontal="right" vertical="center"/>
    </xf>
    <xf numFmtId="184" fontId="11" fillId="0" borderId="1" xfId="0" applyNumberFormat="1" applyFont="1" applyBorder="1" applyAlignment="1">
      <alignment horizontal="right" vertical="center"/>
    </xf>
    <xf numFmtId="9" fontId="11" fillId="0" borderId="1" xfId="0" applyNumberFormat="1" applyFont="1" applyBorder="1" applyAlignment="1">
      <alignment horizontal="right" vertical="center"/>
    </xf>
    <xf numFmtId="185" fontId="9" fillId="5" borderId="1" xfId="0" applyNumberFormat="1" applyFont="1" applyFill="1" applyBorder="1" applyAlignment="1">
      <alignment horizontal="right" vertical="center"/>
    </xf>
    <xf numFmtId="186" fontId="11" fillId="0" borderId="1" xfId="0" applyNumberFormat="1" applyFont="1" applyBorder="1" applyAlignment="1">
      <alignment horizontal="right" vertical="center"/>
    </xf>
    <xf numFmtId="0" fontId="18" fillId="6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8F5E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0F4FF"/>
      <rgbColor rgb="FF993366"/>
      <rgbColor rgb="FFFFFDE7"/>
      <rgbColor rgb="FFDDEEFF"/>
      <rgbColor rgb="FF660066"/>
      <rgbColor rgb="FFFF8080"/>
      <rgbColor rgb="FF0066CC"/>
      <rgbColor rgb="FFEDE7F6"/>
      <rgbColor rgb="FF000080"/>
      <rgbColor rgb="FFFF00FF"/>
      <rgbColor rgb="FFF8F8F8"/>
      <rgbColor rgb="FF00FFFF"/>
      <rgbColor rgb="FF800080"/>
      <rgbColor rgb="FF800000"/>
      <rgbColor rgb="FF008080"/>
      <rgbColor rgb="FF0000FF"/>
      <rgbColor rgb="FF00CCFF"/>
      <rgbColor rgb="FFE3F2FD"/>
      <rgbColor rgb="FFE2EFDA"/>
      <rgbColor rgb="FFFFF2CC"/>
      <rgbColor rgb="FFEBF3FB"/>
      <rgbColor rgb="FFFCE4D6"/>
      <rgbColor rgb="FFFFEBEE"/>
      <rgbColor rgb="FFFFD966"/>
      <rgbColor rgb="FF2E75B6"/>
      <rgbColor rgb="FF33CCCC"/>
      <rgbColor rgb="FF99CC00"/>
      <rgbColor rgb="FFFFCC00"/>
      <rgbColor rgb="FFFF9900"/>
      <rgbColor rgb="FFFF6B00"/>
      <rgbColor rgb="FF555555"/>
      <rgbColor rgb="FF969696"/>
      <rgbColor rgb="FF003366"/>
      <rgbColor rgb="FF339966"/>
      <rgbColor rgb="FF006600"/>
      <rgbColor rgb="FF333300"/>
      <rgbColor rgb="FF9933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9"/>
  <sheetViews>
    <sheetView showGridLines="0" topLeftCell="A6" zoomScale="150" zoomScaleNormal="100" workbookViewId="0"/>
  </sheetViews>
  <sheetFormatPr baseColWidth="10" defaultColWidth="8.6640625" defaultRowHeight="15" customHeight="1"/>
  <cols>
    <col min="1" max="1" width="2" customWidth="1"/>
    <col min="2" max="2" width="12" customWidth="1"/>
    <col min="3" max="3" width="18" customWidth="1"/>
    <col min="4" max="4" width="50" customWidth="1"/>
    <col min="5" max="6" width="16" customWidth="1"/>
    <col min="7" max="7" width="14" customWidth="1"/>
    <col min="8" max="8" width="36" customWidth="1"/>
  </cols>
  <sheetData>
    <row r="1" spans="2:14" ht="31.5" customHeight="1"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2:14" ht="18" customHeight="1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2:14" ht="6" customHeight="1"/>
    <row r="4" spans="2:14" ht="18" customHeight="1">
      <c r="B4" s="2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>
      <c r="B5" s="5" t="s">
        <v>3</v>
      </c>
      <c r="C5" s="5" t="s">
        <v>4</v>
      </c>
      <c r="D5" s="6" t="s">
        <v>5</v>
      </c>
      <c r="E5" s="5" t="s">
        <v>6</v>
      </c>
      <c r="F5" s="5" t="s">
        <v>7</v>
      </c>
      <c r="G5" s="5" t="s">
        <v>8</v>
      </c>
    </row>
    <row r="6" spans="2:14" ht="28">
      <c r="B6" s="7" t="s">
        <v>9</v>
      </c>
      <c r="C6" s="8">
        <v>12.8</v>
      </c>
      <c r="D6" s="9">
        <v>9.9000000000000005E-2</v>
      </c>
      <c r="E6" s="10">
        <v>0.7</v>
      </c>
      <c r="F6" s="11">
        <f>C6*(1-D6-E6)</f>
        <v>2.5728000000000009</v>
      </c>
      <c r="G6" s="12">
        <f>F6*C21</f>
        <v>0</v>
      </c>
    </row>
    <row r="7" spans="2:14" ht="28">
      <c r="B7" s="7" t="s">
        <v>10</v>
      </c>
      <c r="C7" s="8">
        <v>19.899999999999999</v>
      </c>
      <c r="D7" s="9">
        <v>9.9000000000000005E-2</v>
      </c>
      <c r="E7" s="10">
        <v>0.5</v>
      </c>
      <c r="F7" s="11">
        <f>C7*(1-D7-E7)</f>
        <v>7.9798999999999998</v>
      </c>
      <c r="G7" s="12">
        <f>F7*C21</f>
        <v>0</v>
      </c>
    </row>
    <row r="8" spans="2:14" ht="28">
      <c r="B8" s="7" t="s">
        <v>11</v>
      </c>
      <c r="C8" s="8">
        <v>28.9</v>
      </c>
      <c r="D8" s="9">
        <v>9.9000000000000005E-2</v>
      </c>
      <c r="E8" s="10">
        <v>0.4</v>
      </c>
      <c r="F8" s="11">
        <f>C8*(1-D8-E8)</f>
        <v>14.478899999999999</v>
      </c>
      <c r="G8" s="12">
        <f>F8*C21</f>
        <v>0</v>
      </c>
    </row>
    <row r="9" spans="2:14" ht="6" customHeight="1"/>
    <row r="10" spans="2:14" ht="18" customHeight="1">
      <c r="B10" s="2" t="s">
        <v>12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>
      <c r="B11" s="5" t="s">
        <v>13</v>
      </c>
      <c r="C11" s="5" t="s">
        <v>14</v>
      </c>
      <c r="D11" s="5" t="s">
        <v>15</v>
      </c>
    </row>
    <row r="12" spans="2:14" ht="28">
      <c r="B12" s="13" t="s">
        <v>16</v>
      </c>
      <c r="C12" s="10">
        <v>0.24</v>
      </c>
      <c r="D12" s="14" t="s">
        <v>17</v>
      </c>
    </row>
    <row r="13" spans="2:14" ht="28">
      <c r="B13" s="13" t="s">
        <v>18</v>
      </c>
      <c r="C13" s="10">
        <v>0.1</v>
      </c>
      <c r="D13" s="15" t="s">
        <v>19</v>
      </c>
    </row>
    <row r="14" spans="2:14" ht="42">
      <c r="B14" s="16" t="s">
        <v>20</v>
      </c>
      <c r="C14" s="10">
        <v>0.15</v>
      </c>
      <c r="D14" s="15" t="s">
        <v>21</v>
      </c>
    </row>
    <row r="15" spans="2:14" ht="28">
      <c r="B15" s="16" t="s">
        <v>22</v>
      </c>
      <c r="C15" s="10">
        <v>0.2</v>
      </c>
      <c r="D15" s="15" t="s">
        <v>23</v>
      </c>
    </row>
    <row r="16" spans="2:14" ht="42">
      <c r="B16" s="16" t="s">
        <v>24</v>
      </c>
      <c r="C16" s="10">
        <v>0.65</v>
      </c>
      <c r="D16" s="15" t="s">
        <v>25</v>
      </c>
    </row>
    <row r="17" spans="2:14" ht="28">
      <c r="B17" s="16" t="s">
        <v>26</v>
      </c>
      <c r="C17" s="10">
        <v>0.2</v>
      </c>
      <c r="D17" s="15" t="s">
        <v>27</v>
      </c>
    </row>
    <row r="18" spans="2:14">
      <c r="B18" s="16" t="s">
        <v>28</v>
      </c>
      <c r="C18" s="17">
        <v>1400</v>
      </c>
      <c r="D18" s="15" t="s">
        <v>29</v>
      </c>
    </row>
    <row r="19" spans="2:14" ht="28">
      <c r="B19" s="16" t="s">
        <v>30</v>
      </c>
      <c r="C19" s="10">
        <v>0.05</v>
      </c>
      <c r="D19" s="15" t="s">
        <v>31</v>
      </c>
    </row>
    <row r="20" spans="2:14" ht="28">
      <c r="B20" s="16" t="s">
        <v>32</v>
      </c>
      <c r="C20" s="10">
        <v>0.03</v>
      </c>
      <c r="D20" s="15" t="s">
        <v>33</v>
      </c>
    </row>
    <row r="21" spans="2:14" ht="6" customHeight="1"/>
    <row r="22" spans="2:14" ht="18" customHeight="1">
      <c r="B22" s="2" t="s">
        <v>34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>
      <c r="B23" s="5" t="s">
        <v>35</v>
      </c>
      <c r="C23" s="5" t="s">
        <v>36</v>
      </c>
      <c r="D23" s="6" t="s">
        <v>37</v>
      </c>
      <c r="E23" s="5" t="s">
        <v>38</v>
      </c>
      <c r="F23" s="5" t="s">
        <v>39</v>
      </c>
      <c r="G23" s="6" t="s">
        <v>40</v>
      </c>
      <c r="H23" s="5" t="s">
        <v>41</v>
      </c>
    </row>
    <row r="24" spans="2:14">
      <c r="B24" s="18" t="s">
        <v>42</v>
      </c>
      <c r="C24" s="19" t="s">
        <v>43</v>
      </c>
      <c r="D24" s="20" t="s">
        <v>44</v>
      </c>
      <c r="E24" s="21">
        <v>5</v>
      </c>
      <c r="F24" s="22">
        <v>17</v>
      </c>
      <c r="G24" s="23">
        <f t="shared" ref="G24:G30" si="0">E24+F24*12</f>
        <v>209</v>
      </c>
      <c r="H24" s="15" t="s">
        <v>45</v>
      </c>
    </row>
    <row r="25" spans="2:14">
      <c r="B25" s="18" t="s">
        <v>46</v>
      </c>
      <c r="C25" s="19" t="s">
        <v>47</v>
      </c>
      <c r="D25" s="20" t="s">
        <v>48</v>
      </c>
      <c r="E25" s="21">
        <v>3</v>
      </c>
      <c r="F25" s="22">
        <v>13</v>
      </c>
      <c r="G25" s="23">
        <f t="shared" si="0"/>
        <v>159</v>
      </c>
      <c r="H25" s="15" t="s">
        <v>49</v>
      </c>
    </row>
    <row r="26" spans="2:14">
      <c r="B26" s="24" t="s">
        <v>50</v>
      </c>
      <c r="C26" s="25" t="s">
        <v>47</v>
      </c>
      <c r="D26" s="26" t="s">
        <v>48</v>
      </c>
      <c r="E26" s="21">
        <v>2</v>
      </c>
      <c r="F26" s="22">
        <v>7</v>
      </c>
      <c r="G26" s="23">
        <f t="shared" si="0"/>
        <v>86</v>
      </c>
      <c r="H26" s="15" t="s">
        <v>51</v>
      </c>
    </row>
    <row r="27" spans="2:14" ht="28">
      <c r="B27" s="27" t="s">
        <v>52</v>
      </c>
      <c r="C27" s="28" t="s">
        <v>47</v>
      </c>
      <c r="D27" s="29" t="s">
        <v>53</v>
      </c>
      <c r="E27" s="21">
        <v>2</v>
      </c>
      <c r="F27" s="22">
        <v>8</v>
      </c>
      <c r="G27" s="23">
        <f t="shared" si="0"/>
        <v>98</v>
      </c>
      <c r="H27" s="15" t="s">
        <v>54</v>
      </c>
    </row>
    <row r="28" spans="2:14">
      <c r="B28" s="30" t="s">
        <v>55</v>
      </c>
      <c r="C28" s="31" t="s">
        <v>47</v>
      </c>
      <c r="D28" s="32" t="s">
        <v>53</v>
      </c>
      <c r="E28" s="21">
        <v>1</v>
      </c>
      <c r="F28" s="22">
        <v>4</v>
      </c>
      <c r="G28" s="23">
        <f t="shared" si="0"/>
        <v>49</v>
      </c>
      <c r="H28" s="15" t="s">
        <v>56</v>
      </c>
    </row>
    <row r="29" spans="2:14">
      <c r="B29" s="33" t="s">
        <v>57</v>
      </c>
      <c r="C29" s="34" t="s">
        <v>47</v>
      </c>
      <c r="D29" s="35" t="s">
        <v>53</v>
      </c>
      <c r="E29" s="21">
        <v>1</v>
      </c>
      <c r="F29" s="22">
        <v>3</v>
      </c>
      <c r="G29" s="23">
        <f t="shared" si="0"/>
        <v>37</v>
      </c>
      <c r="H29" s="15" t="s">
        <v>58</v>
      </c>
    </row>
    <row r="30" spans="2:14">
      <c r="B30" s="18" t="s">
        <v>59</v>
      </c>
      <c r="C30" s="19" t="s">
        <v>43</v>
      </c>
      <c r="D30" s="20" t="s">
        <v>60</v>
      </c>
      <c r="E30" s="21">
        <v>1</v>
      </c>
      <c r="F30" s="22">
        <v>3</v>
      </c>
      <c r="G30" s="23">
        <f t="shared" si="0"/>
        <v>37</v>
      </c>
      <c r="H30" s="15" t="s">
        <v>61</v>
      </c>
    </row>
    <row r="31" spans="2:14">
      <c r="B31" s="36" t="s">
        <v>62</v>
      </c>
      <c r="C31" s="37"/>
      <c r="D31" s="37"/>
      <c r="E31" s="38">
        <f>SUM(E24:E30)</f>
        <v>15</v>
      </c>
      <c r="F31" s="39">
        <f>SUM(F24:F30)</f>
        <v>55</v>
      </c>
      <c r="G31" s="38">
        <f>SUM(G24:G30)</f>
        <v>675</v>
      </c>
      <c r="H31" s="37"/>
    </row>
    <row r="32" spans="2:14" ht="6" customHeight="1"/>
    <row r="33" spans="2:14" ht="18" customHeight="1">
      <c r="B33" s="2" t="s">
        <v>63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>
      <c r="B34" s="5" t="s">
        <v>64</v>
      </c>
      <c r="C34" s="5" t="s">
        <v>65</v>
      </c>
      <c r="D34" s="5" t="s">
        <v>15</v>
      </c>
    </row>
    <row r="35" spans="2:14">
      <c r="B35" s="40" t="s">
        <v>66</v>
      </c>
      <c r="C35" s="41">
        <f>1+(C12-C13)</f>
        <v>1.1399999999999999</v>
      </c>
      <c r="D35" s="15" t="s">
        <v>67</v>
      </c>
    </row>
    <row r="36" spans="2:14">
      <c r="B36" s="40" t="s">
        <v>68</v>
      </c>
      <c r="C36" s="41">
        <f>1+(C12*1.2-C13*0.9)</f>
        <v>1.198</v>
      </c>
      <c r="D36" s="15" t="s">
        <v>69</v>
      </c>
    </row>
    <row r="37" spans="2:14">
      <c r="B37" s="40" t="s">
        <v>70</v>
      </c>
      <c r="C37" s="41">
        <f>1+(C12*1.5-C13*0.8)</f>
        <v>1.28</v>
      </c>
      <c r="D37" s="15" t="s">
        <v>71</v>
      </c>
    </row>
    <row r="38" spans="2:14">
      <c r="B38" s="40" t="s">
        <v>72</v>
      </c>
      <c r="C38" s="41">
        <f>1+(C12*1.8-C13*0.75)</f>
        <v>1.357</v>
      </c>
      <c r="D38" s="15" t="s">
        <v>73</v>
      </c>
    </row>
    <row r="39" spans="2:14">
      <c r="B39" s="40" t="s">
        <v>74</v>
      </c>
      <c r="C39" s="41">
        <f>1+(C12*2-C13*0.7)</f>
        <v>1.41</v>
      </c>
      <c r="D39" s="15" t="s">
        <v>75</v>
      </c>
    </row>
  </sheetData>
  <mergeCells count="6">
    <mergeCell ref="B33:N33"/>
    <mergeCell ref="B1:N1"/>
    <mergeCell ref="B2:N2"/>
    <mergeCell ref="B4:N4"/>
    <mergeCell ref="B10:N10"/>
    <mergeCell ref="B22:N2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37"/>
  <sheetViews>
    <sheetView showGridLines="0" tabSelected="1" zoomScale="150" zoomScaleNormal="100" workbookViewId="0">
      <selection activeCell="N39" sqref="N39"/>
    </sheetView>
  </sheetViews>
  <sheetFormatPr baseColWidth="10" defaultColWidth="8.6640625" defaultRowHeight="15" customHeight="1"/>
  <cols>
    <col min="1" max="1" width="2" customWidth="1"/>
    <col min="2" max="2" width="24" bestFit="1" customWidth="1"/>
    <col min="3" max="3" width="11" customWidth="1"/>
    <col min="4" max="6" width="12" bestFit="1" customWidth="1"/>
    <col min="7" max="15" width="13" bestFit="1" customWidth="1"/>
  </cols>
  <sheetData>
    <row r="1" spans="2:16" ht="31.5" customHeight="1">
      <c r="B1" s="4" t="s">
        <v>76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2:16" ht="18" customHeight="1">
      <c r="B2" s="3" t="s">
        <v>77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2:16" ht="6" customHeight="1"/>
    <row r="4" spans="2:16" ht="18" customHeight="1">
      <c r="B4" s="3" t="s">
        <v>78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2:16">
      <c r="B5" s="5" t="s">
        <v>35</v>
      </c>
      <c r="C5" s="6" t="s">
        <v>79</v>
      </c>
      <c r="D5" s="6" t="s">
        <v>80</v>
      </c>
      <c r="E5" s="6" t="s">
        <v>81</v>
      </c>
      <c r="F5" s="6" t="s">
        <v>82</v>
      </c>
      <c r="G5" s="6" t="s">
        <v>83</v>
      </c>
      <c r="H5" s="6" t="s">
        <v>84</v>
      </c>
      <c r="I5" s="6" t="s">
        <v>85</v>
      </c>
      <c r="J5" s="6" t="s">
        <v>86</v>
      </c>
      <c r="K5" s="6" t="s">
        <v>87</v>
      </c>
      <c r="L5" s="6" t="s">
        <v>88</v>
      </c>
      <c r="M5" s="6" t="s">
        <v>89</v>
      </c>
      <c r="N5" s="6" t="s">
        <v>90</v>
      </c>
      <c r="O5" s="5" t="s">
        <v>91</v>
      </c>
    </row>
    <row r="6" spans="2:16">
      <c r="B6" s="18" t="s">
        <v>92</v>
      </c>
      <c r="C6" s="42">
        <f>ROUND('① 자동화 가정'!E24+'① 자동화 가정'!F24,0)</f>
        <v>22</v>
      </c>
      <c r="D6" s="42">
        <f>ROUND(C6*(1+'① 자동화 가정'!C14/12-'① 자동화 가정'!C15/12)+'① 자동화 가정'!F24,0)</f>
        <v>39</v>
      </c>
      <c r="E6" s="42">
        <f>ROUND(D6*(1+'① 자동화 가정'!C14/12-'① 자동화 가정'!C15/12)+'① 자동화 가정'!F24,0)</f>
        <v>56</v>
      </c>
      <c r="F6" s="42">
        <f>ROUND(E6*(1+'① 자동화 가정'!C14/12-'① 자동화 가정'!C15/12)+'① 자동화 가정'!F24,0)</f>
        <v>73</v>
      </c>
      <c r="G6" s="42">
        <f>ROUND(F6*(1+'① 자동화 가정'!C14/12-'① 자동화 가정'!C15/12)+'① 자동화 가정'!F24,0)</f>
        <v>90</v>
      </c>
      <c r="H6" s="42">
        <f>ROUND(G6*(1+'① 자동화 가정'!C14/12-'① 자동화 가정'!C15/12)+'① 자동화 가정'!F24,0)</f>
        <v>107</v>
      </c>
      <c r="I6" s="42">
        <f>ROUND(H6*(1+'① 자동화 가정'!C14/12-'① 자동화 가정'!C15/12)+'① 자동화 가정'!F24,0)</f>
        <v>124</v>
      </c>
      <c r="J6" s="42">
        <f>ROUND(I6*(1+'① 자동화 가정'!C14/12-'① 자동화 가정'!C15/12)+'① 자동화 가정'!F24,0)</f>
        <v>140</v>
      </c>
      <c r="K6" s="42">
        <f>ROUND(J6*(1+'① 자동화 가정'!C14/12-'① 자동화 가정'!C15/12)+'① 자동화 가정'!F24,0)</f>
        <v>156</v>
      </c>
      <c r="L6" s="42">
        <f>ROUND(K6*(1+'① 자동화 가정'!C14/12-'① 자동화 가정'!C15/12)+'① 자동화 가정'!F24,0)</f>
        <v>172</v>
      </c>
      <c r="M6" s="42">
        <f>ROUND(L6*(1+'① 자동화 가정'!C14/12-'① 자동화 가정'!C15/12)+'① 자동화 가정'!F24,0)</f>
        <v>188</v>
      </c>
      <c r="N6" s="42">
        <f>ROUND(M6*(1+'① 자동화 가정'!C14/12-'① 자동화 가정'!C15/12)+'① 자동화 가정'!F24,0)</f>
        <v>204</v>
      </c>
      <c r="O6" s="38">
        <f>N6</f>
        <v>204</v>
      </c>
    </row>
    <row r="7" spans="2:16">
      <c r="B7" s="18" t="s">
        <v>93</v>
      </c>
      <c r="C7" s="43">
        <f>((C6*'① 자동화 가정'!C17*'① 자동화 가정'!C16*80+C6*(1-'① 자동화 가정'!C17)*'① 자동화 가정'!C16*0.375*20+C6*(1-'① 자동화 가정'!C17)*'① 자동화 가정'!C16*0.625*3)*'① 자동화 가정'!F6+(C6*'① 자동화 가정'!C17*'① 자동화 가정'!C16*80+C6*(1-'① 자동화 가정'!C17)*'① 자동화 가정'!C16*0.375*20+C6*(1-'① 자동화 가정'!C17)*'① 자동화 가정'!C16*0.625*3)*'① 자동화 가정'!C12*'① 자동화 가정'!F7+(C6*'① 자동화 가정'!C17*'① 자동화 가정'!C16*80+C6*(1-'① 자동화 가정'!C17)*'① 자동화 가정'!C16*0.375*20+C6*(1-'① 자동화 가정'!C17)*'① 자동화 가정'!C16*0.625*3)*'① 자동화 가정'!C13*'① 자동화 가정'!F8)</f>
        <v>1994.7477693000003</v>
      </c>
      <c r="D7" s="43">
        <f>((D6*'① 자동화 가정'!C17*'① 자동화 가정'!C16*80+D6*(1-'① 자동화 가정'!C17)*'① 자동화 가정'!C16*0.375*20+D6*(1-'① 자동화 가정'!C17)*'① 자동화 가정'!C16*0.625*3)*'① 자동화 가정'!F6+(D6*'① 자동화 가정'!C17*'① 자동화 가정'!C16*80+D6*(1-'① 자동화 가정'!C17)*'① 자동화 가정'!C16*0.375*20+D6*(1-'① 자동화 가정'!C17)*'① 자동화 가정'!C16*0.625*3)*'① 자동화 가정'!C12*'① 자동화 가정'!F7+(D6*'① 자동화 가정'!C17*'① 자동화 가정'!C16*80+D6*(1-'① 자동화 가정'!C17)*'① 자동화 가정'!C16*0.375*20+D6*(1-'① 자동화 가정'!C17)*'① 자동화 가정'!C16*0.625*3)*'① 자동화 가정'!C13*'① 자동화 가정'!F8)</f>
        <v>3536.14377285</v>
      </c>
      <c r="E7" s="43">
        <f>((E6*'① 자동화 가정'!C17*'① 자동화 가정'!C16*80+E6*(1-'① 자동화 가정'!C17)*'① 자동화 가정'!C16*0.375*20+E6*(1-'① 자동화 가정'!C17)*'① 자동화 가정'!C16*0.625*3)*'① 자동화 가정'!F6+(E6*'① 자동화 가정'!C17*'① 자동화 가정'!C16*80+E6*(1-'① 자동화 가정'!C17)*'① 자동화 가정'!C16*0.375*20+E6*(1-'① 자동화 가정'!C17)*'① 자동화 가정'!C16*0.625*3)*'① 자동화 가정'!C12*'① 자동화 가정'!F7+(E6*'① 자동화 가정'!C17*'① 자동화 가정'!C16*80+E6*(1-'① 자동화 가정'!C17)*'① 자동화 가정'!C16*0.375*20+E6*(1-'① 자동화 가정'!C17)*'① 자동화 가정'!C16*0.625*3)*'① 자동화 가정'!C13*'① 자동화 가정'!F8)</f>
        <v>5077.5397764000018</v>
      </c>
      <c r="F7" s="43">
        <f>((F6*'① 자동화 가정'!C17*'① 자동화 가정'!C16*80+F6*(1-'① 자동화 가정'!C17)*'① 자동화 가정'!C16*0.375*20+F6*(1-'① 자동화 가정'!C17)*'① 자동화 가정'!C16*0.625*3)*'① 자동화 가정'!F6+(F6*'① 자동화 가정'!C17*'① 자동화 가정'!C16*80+F6*(1-'① 자동화 가정'!C17)*'① 자동화 가정'!C16*0.375*20+F6*(1-'① 자동화 가정'!C17)*'① 자동화 가정'!C16*0.625*3)*'① 자동화 가정'!C12*'① 자동화 가정'!F7+(F6*'① 자동화 가정'!C17*'① 자동화 가정'!C16*80+F6*(1-'① 자동화 가정'!C17)*'① 자동화 가정'!C16*0.375*20+F6*(1-'① 자동화 가정'!C17)*'① 자동화 가정'!C16*0.625*3)*'① 자동화 가정'!C13*'① 자동화 가정'!F8)</f>
        <v>6618.9357799500012</v>
      </c>
      <c r="G7" s="43">
        <f>((G6*'① 자동화 가정'!C17*'① 자동화 가정'!C16*80+G6*(1-'① 자동화 가정'!C17)*'① 자동화 가정'!C16*0.375*20+G6*(1-'① 자동화 가정'!C17)*'① 자동화 가정'!C16*0.625*3)*'① 자동화 가정'!F6+(G6*'① 자동화 가정'!C17*'① 자동화 가정'!C16*80+G6*(1-'① 자동화 가정'!C17)*'① 자동화 가정'!C16*0.375*20+G6*(1-'① 자동화 가정'!C17)*'① 자동화 가정'!C16*0.625*3)*'① 자동화 가정'!C12*'① 자동화 가정'!F7+(G6*'① 자동화 가정'!C17*'① 자동화 가정'!C16*80+G6*(1-'① 자동화 가정'!C17)*'① 자동화 가정'!C16*0.375*20+G6*(1-'① 자동화 가정'!C17)*'① 자동화 가정'!C16*0.625*3)*'① 자동화 가정'!C13*'① 자동화 가정'!F8)</f>
        <v>8160.3317835000016</v>
      </c>
      <c r="H7" s="43">
        <f>((H6*'① 자동화 가정'!C17*'① 자동화 가정'!C16*80+H6*(1-'① 자동화 가정'!C17)*'① 자동화 가정'!C16*0.375*20+H6*(1-'① 자동화 가정'!C17)*'① 자동화 가정'!C16*0.625*3)*'① 자동화 가정'!F6+(H6*'① 자동화 가정'!C17*'① 자동화 가정'!C16*80+H6*(1-'① 자동화 가정'!C17)*'① 자동화 가정'!C16*0.375*20+H6*(1-'① 자동화 가정'!C17)*'① 자동화 가정'!C16*0.625*3)*'① 자동화 가정'!C12*'① 자동화 가정'!F7+(H6*'① 자동화 가정'!C17*'① 자동화 가정'!C16*80+H6*(1-'① 자동화 가정'!C17)*'① 자동화 가정'!C16*0.375*20+H6*(1-'① 자동화 가정'!C17)*'① 자동화 가정'!C16*0.625*3)*'① 자동화 가정'!C13*'① 자동화 가정'!F8)</f>
        <v>9701.7277870500038</v>
      </c>
      <c r="I7" s="43">
        <f>((I6*'① 자동화 가정'!C17*'① 자동화 가정'!C16*80+I6*(1-'① 자동화 가정'!C17)*'① 자동화 가정'!C16*0.375*20+I6*(1-'① 자동화 가정'!C17)*'① 자동화 가정'!C16*0.625*3)*'① 자동화 가정'!F6+(I6*'① 자동화 가정'!C17*'① 자동화 가정'!C16*80+I6*(1-'① 자동화 가정'!C17)*'① 자동화 가정'!C16*0.375*20+I6*(1-'① 자동화 가정'!C17)*'① 자동화 가정'!C16*0.625*3)*'① 자동화 가정'!C12*'① 자동화 가정'!F7+(I6*'① 자동화 가정'!C17*'① 자동화 가정'!C16*80+I6*(1-'① 자동화 가정'!C17)*'① 자동화 가정'!C16*0.375*20+I6*(1-'① 자동화 가정'!C17)*'① 자동화 가정'!C16*0.625*3)*'① 자동화 가정'!C13*'① 자동화 가정'!F8)</f>
        <v>11243.123790600004</v>
      </c>
      <c r="J7" s="43">
        <f>((J6*'① 자동화 가정'!C17*'① 자동화 가정'!C16*80+J6*(1-'① 자동화 가정'!C17)*'① 자동화 가정'!C16*0.375*20+J6*(1-'① 자동화 가정'!C17)*'① 자동화 가정'!C16*0.625*3)*'① 자동화 가정'!F6+(J6*'① 자동화 가정'!C17*'① 자동화 가정'!C16*80+J6*(1-'① 자동화 가정'!C17)*'① 자동화 가정'!C16*0.375*20+J6*(1-'① 자동화 가정'!C17)*'① 자동화 가정'!C16*0.625*3)*'① 자동화 가정'!C12*'① 자동화 가정'!F7+(J6*'① 자동화 가정'!C17*'① 자동화 가정'!C16*80+J6*(1-'① 자동화 가정'!C17)*'① 자동화 가정'!C16*0.375*20+J6*(1-'① 자동화 가정'!C17)*'① 자동화 가정'!C16*0.625*3)*'① 자동화 가정'!C13*'① 자동화 가정'!F8)</f>
        <v>12693.849441000002</v>
      </c>
      <c r="K7" s="43">
        <f>((K6*'① 자동화 가정'!C17*'① 자동화 가정'!C16*80+K6*(1-'① 자동화 가정'!C17)*'① 자동화 가정'!C16*0.375*20+K6*(1-'① 자동화 가정'!C17)*'① 자동화 가정'!C16*0.625*3)*'① 자동화 가정'!F6+(K6*'① 자동화 가정'!C17*'① 자동화 가정'!C16*80+K6*(1-'① 자동화 가정'!C17)*'① 자동화 가정'!C16*0.375*20+K6*(1-'① 자동화 가정'!C17)*'① 자동화 가정'!C16*0.625*3)*'① 자동화 가정'!C12*'① 자동화 가정'!F7+(K6*'① 자동화 가정'!C17*'① 자동화 가정'!C16*80+K6*(1-'① 자동화 가정'!C17)*'① 자동화 가정'!C16*0.375*20+K6*(1-'① 자동화 가정'!C17)*'① 자동화 가정'!C16*0.625*3)*'① 자동화 가정'!C13*'① 자동화 가정'!F8)</f>
        <v>14144.5750914</v>
      </c>
      <c r="L7" s="43">
        <f>((L6*'① 자동화 가정'!C17*'① 자동화 가정'!C16*80+L6*(1-'① 자동화 가정'!C17)*'① 자동화 가정'!C16*0.375*20+L6*(1-'① 자동화 가정'!C17)*'① 자동화 가정'!C16*0.625*3)*'① 자동화 가정'!F6+(L6*'① 자동화 가정'!C17*'① 자동화 가정'!C16*80+L6*(1-'① 자동화 가정'!C17)*'① 자동화 가정'!C16*0.375*20+L6*(1-'① 자동화 가정'!C17)*'① 자동화 가정'!C16*0.625*3)*'① 자동화 가정'!C12*'① 자동화 가정'!F7+(L6*'① 자동화 가정'!C17*'① 자동화 가정'!C16*80+L6*(1-'① 자동화 가정'!C17)*'① 자동화 가정'!C16*0.375*20+L6*(1-'① 자동화 가정'!C17)*'① 자동화 가정'!C16*0.625*3)*'① 자동화 가정'!C13*'① 자동화 가정'!F8)</f>
        <v>15595.3007418</v>
      </c>
      <c r="M7" s="43">
        <f>((M6*'① 자동화 가정'!C17*'① 자동화 가정'!C16*80+M6*(1-'① 자동화 가정'!C17)*'① 자동화 가정'!C16*0.375*20+M6*(1-'① 자동화 가정'!C17)*'① 자동화 가정'!C16*0.625*3)*'① 자동화 가정'!F6+(M6*'① 자동화 가정'!C17*'① 자동화 가정'!C16*80+M6*(1-'① 자동화 가정'!C17)*'① 자동화 가정'!C16*0.375*20+M6*(1-'① 자동화 가정'!C17)*'① 자동화 가정'!C16*0.625*3)*'① 자동화 가정'!C12*'① 자동화 가정'!F7+(M6*'① 자동화 가정'!C17*'① 자동화 가정'!C16*80+M6*(1-'① 자동화 가정'!C17)*'① 자동화 가정'!C16*0.375*20+M6*(1-'① 자동화 가정'!C17)*'① 자동화 가정'!C16*0.625*3)*'① 자동화 가정'!C13*'① 자동화 가정'!F8)</f>
        <v>17046.026392200001</v>
      </c>
      <c r="N7" s="43">
        <f>((N6*'① 자동화 가정'!C17*'① 자동화 가정'!C16*80+N6*(1-'① 자동화 가정'!C17)*'① 자동화 가정'!C16*0.375*20+N6*(1-'① 자동화 가정'!C17)*'① 자동화 가정'!C16*0.625*3)*'① 자동화 가정'!F6+(N6*'① 자동화 가정'!C17*'① 자동화 가정'!C16*80+N6*(1-'① 자동화 가정'!C17)*'① 자동화 가정'!C16*0.375*20+N6*(1-'① 자동화 가정'!C17)*'① 자동화 가정'!C16*0.625*3)*'① 자동화 가정'!C12*'① 자동화 가정'!F7+(N6*'① 자동화 가정'!C17*'① 자동화 가정'!C16*80+N6*(1-'① 자동화 가정'!C17)*'① 자동화 가정'!C16*0.375*20+N6*(1-'① 자동화 가정'!C17)*'① 자동화 가정'!C16*0.625*3)*'① 자동화 가정'!C13*'① 자동화 가정'!F8)</f>
        <v>18496.752042600005</v>
      </c>
      <c r="O7" s="44">
        <f>SUM(C7:N7)</f>
        <v>124309.05416865001</v>
      </c>
    </row>
    <row r="8" spans="2:16">
      <c r="B8" s="36" t="s">
        <v>94</v>
      </c>
      <c r="C8" s="45">
        <f>C7*'① 자동화 가정'!C18</f>
        <v>2792646.8770200005</v>
      </c>
      <c r="D8" s="45">
        <f>D7*'① 자동화 가정'!C18</f>
        <v>4950601.28199</v>
      </c>
      <c r="E8" s="45">
        <f>E7*'① 자동화 가정'!C18</f>
        <v>7108555.6869600024</v>
      </c>
      <c r="F8" s="45">
        <f>F7*'① 자동화 가정'!C18</f>
        <v>9266510.091930002</v>
      </c>
      <c r="G8" s="45">
        <f>G7*'① 자동화 가정'!C18</f>
        <v>11424464.496900002</v>
      </c>
      <c r="H8" s="45">
        <f>H7*'① 자동화 가정'!C18</f>
        <v>13582418.901870005</v>
      </c>
      <c r="I8" s="45">
        <f>I7*'① 자동화 가정'!C18</f>
        <v>15740373.306840006</v>
      </c>
      <c r="J8" s="45">
        <f>J7*'① 자동화 가정'!C18</f>
        <v>17771389.217400003</v>
      </c>
      <c r="K8" s="45">
        <f>K7*'① 자동화 가정'!C18</f>
        <v>19802405.12796</v>
      </c>
      <c r="L8" s="45">
        <f>L7*'① 자동화 가정'!C18</f>
        <v>21833421.038520001</v>
      </c>
      <c r="M8" s="45">
        <f>M7*'① 자동화 가정'!C18</f>
        <v>23864436.949080002</v>
      </c>
      <c r="N8" s="45">
        <f>N7*'① 자동화 가정'!C18</f>
        <v>25895452.859640006</v>
      </c>
      <c r="O8" s="46">
        <f>N7*'① 자동화 가정'!C18</f>
        <v>25895452.859640006</v>
      </c>
    </row>
    <row r="9" spans="2:16" ht="6" customHeight="1"/>
    <row r="10" spans="2:16">
      <c r="B10" s="18" t="s">
        <v>95</v>
      </c>
      <c r="C10" s="42">
        <f>ROUND('① 자동화 가정'!E25+'① 자동화 가정'!F25,0)</f>
        <v>16</v>
      </c>
      <c r="D10" s="42">
        <f>ROUND(C10*(1+'① 자동화 가정'!C14/12-'① 자동화 가정'!C15/12)+'① 자동화 가정'!F25,0)</f>
        <v>29</v>
      </c>
      <c r="E10" s="42">
        <f>ROUND(D10*(1+'① 자동화 가정'!C14/12-'① 자동화 가정'!C15/12)+'① 자동화 가정'!F25,0)</f>
        <v>42</v>
      </c>
      <c r="F10" s="42">
        <f>ROUND(E10*(1+'① 자동화 가정'!C14/12-'① 자동화 가정'!C15/12)+'① 자동화 가정'!F25,0)</f>
        <v>55</v>
      </c>
      <c r="G10" s="42">
        <f>ROUND(F10*(1+'① 자동화 가정'!C14/12-'① 자동화 가정'!C15/12)+'① 자동화 가정'!F25,0)</f>
        <v>68</v>
      </c>
      <c r="H10" s="42">
        <f>ROUND(G10*(1+'① 자동화 가정'!C14/12-'① 자동화 가정'!C15/12)+'① 자동화 가정'!F25,0)</f>
        <v>81</v>
      </c>
      <c r="I10" s="42">
        <f>ROUND(H10*(1+'① 자동화 가정'!C14/12-'① 자동화 가정'!C15/12)+'① 자동화 가정'!F25,0)</f>
        <v>94</v>
      </c>
      <c r="J10" s="42">
        <f>ROUND(I10*(1+'① 자동화 가정'!C14/12-'① 자동화 가정'!C15/12)+'① 자동화 가정'!F25,0)</f>
        <v>107</v>
      </c>
      <c r="K10" s="42">
        <f>ROUND(J10*(1+'① 자동화 가정'!C14/12-'① 자동화 가정'!C15/12)+'① 자동화 가정'!F25,0)</f>
        <v>120</v>
      </c>
      <c r="L10" s="42">
        <f>ROUND(K10*(1+'① 자동화 가정'!C14/12-'① 자동화 가정'!C15/12)+'① 자동화 가정'!F25,0)</f>
        <v>133</v>
      </c>
      <c r="M10" s="42">
        <f>ROUND(L10*(1+'① 자동화 가정'!C14/12-'① 자동화 가정'!C15/12)+'① 자동화 가정'!F25,0)</f>
        <v>145</v>
      </c>
      <c r="N10" s="42">
        <f>ROUND(M10*(1+'① 자동화 가정'!C14/12-'① 자동화 가정'!C15/12)+'① 자동화 가정'!F25,0)</f>
        <v>157</v>
      </c>
      <c r="O10" s="38">
        <f>N10</f>
        <v>157</v>
      </c>
    </row>
    <row r="11" spans="2:16">
      <c r="B11" s="18" t="s">
        <v>96</v>
      </c>
      <c r="C11" s="43">
        <f>((C10*'① 자동화 가정'!C17*'① 자동화 가정'!C16*80+C10*(1-'① 자동화 가정'!C17)*'① 자동화 가정'!C16*0.375*20+C10*(1-'① 자동화 가정'!C17)*'① 자동화 가정'!C16*0.625*3)*'① 자동화 가정'!F6+(C10*'① 자동화 가정'!C17*'① 자동화 가정'!C16*80+C10*(1-'① 자동화 가정'!C17)*'① 자동화 가정'!C16*0.375*20+C10*(1-'① 자동화 가정'!C17)*'① 자동화 가정'!C16*0.625*3)*'① 자동화 가정'!C12*'① 자동화 가정'!F7+(C10*'① 자동화 가정'!C17*'① 자동화 가정'!C16*80+C10*(1-'① 자동화 가정'!C17)*'① 자동화 가정'!C16*0.375*20+C10*(1-'① 자동화 가정'!C17)*'① 자동화 가정'!C16*0.625*3)*'① 자동화 가정'!C13*'① 자동화 가정'!F8)</f>
        <v>1450.7256504000002</v>
      </c>
      <c r="D11" s="43">
        <f>((D10*'① 자동화 가정'!C17*'① 자동화 가정'!C16*80+D10*(1-'① 자동화 가정'!C17)*'① 자동화 가정'!C16*0.375*20+D10*(1-'① 자동화 가정'!C17)*'① 자동화 가정'!C16*0.625*3)*'① 자동화 가정'!F6+(D10*'① 자동화 가정'!C17*'① 자동화 가정'!C16*80+D10*(1-'① 자동화 가정'!C17)*'① 자동화 가정'!C16*0.375*20+D10*(1-'① 자동화 가정'!C17)*'① 자동화 가정'!C16*0.625*3)*'① 자동화 가정'!C12*'① 자동화 가정'!F7+(D10*'① 자동화 가정'!C17*'① 자동화 가정'!C16*80+D10*(1-'① 자동화 가정'!C17)*'① 자동화 가정'!C16*0.375*20+D10*(1-'① 자동화 가정'!C17)*'① 자동화 가정'!C16*0.625*3)*'① 자동화 가정'!C13*'① 자동화 가정'!F8)</f>
        <v>2629.4402413500006</v>
      </c>
      <c r="E11" s="43">
        <f>((E10*'① 자동화 가정'!C17*'① 자동화 가정'!C16*80+E10*(1-'① 자동화 가정'!C17)*'① 자동화 가정'!C16*0.375*20+E10*(1-'① 자동화 가정'!C17)*'① 자동화 가정'!C16*0.625*3)*'① 자동화 가정'!F6+(E10*'① 자동화 가정'!C17*'① 자동화 가정'!C16*80+E10*(1-'① 자동화 가정'!C17)*'① 자동화 가정'!C16*0.375*20+E10*(1-'① 자동화 가정'!C17)*'① 자동화 가정'!C16*0.625*3)*'① 자동화 가정'!C12*'① 자동화 가정'!F7+(E10*'① 자동화 가정'!C17*'① 자동화 가정'!C16*80+E10*(1-'① 자동화 가정'!C17)*'① 자동화 가정'!C16*0.375*20+E10*(1-'① 자동화 가정'!C17)*'① 자동화 가정'!C16*0.625*3)*'① 자동화 가정'!C13*'① 자동화 가정'!F8)</f>
        <v>3808.1548323000015</v>
      </c>
      <c r="F11" s="43">
        <f>((F10*'① 자동화 가정'!C17*'① 자동화 가정'!C16*80+F10*(1-'① 자동화 가정'!C17)*'① 자동화 가정'!C16*0.375*20+F10*(1-'① 자동화 가정'!C17)*'① 자동화 가정'!C16*0.625*3)*'① 자동화 가정'!F6+(F10*'① 자동화 가정'!C17*'① 자동화 가정'!C16*80+F10*(1-'① 자동화 가정'!C17)*'① 자동화 가정'!C16*0.375*20+F10*(1-'① 자동화 가정'!C17)*'① 자동화 가정'!C16*0.625*3)*'① 자동화 가정'!C12*'① 자동화 가정'!F7+(F10*'① 자동화 가정'!C17*'① 자동화 가정'!C16*80+F10*(1-'① 자동화 가정'!C17)*'① 자동화 가정'!C16*0.375*20+F10*(1-'① 자동화 가정'!C17)*'① 자동화 가정'!C16*0.625*3)*'① 자동화 가정'!C13*'① 자동화 가정'!F8)</f>
        <v>4986.8694232500002</v>
      </c>
      <c r="G11" s="43">
        <f>((G10*'① 자동화 가정'!C17*'① 자동화 가정'!C16*80+G10*(1-'① 자동화 가정'!C17)*'① 자동화 가정'!C16*0.375*20+G10*(1-'① 자동화 가정'!C17)*'① 자동화 가정'!C16*0.625*3)*'① 자동화 가정'!F6+(G10*'① 자동화 가정'!C17*'① 자동화 가정'!C16*80+G10*(1-'① 자동화 가정'!C17)*'① 자동화 가정'!C16*0.375*20+G10*(1-'① 자동화 가정'!C17)*'① 자동화 가정'!C16*0.625*3)*'① 자동화 가정'!C12*'① 자동화 가정'!F7+(G10*'① 자동화 가정'!C17*'① 자동화 가정'!C16*80+G10*(1-'① 자동화 가정'!C17)*'① 자동화 가정'!C16*0.375*20+G10*(1-'① 자동화 가정'!C17)*'① 자동화 가정'!C16*0.625*3)*'① 자동화 가정'!C13*'① 자동화 가정'!F8)</f>
        <v>6165.5840142000025</v>
      </c>
      <c r="H11" s="43">
        <f>((H10*'① 자동화 가정'!C17*'① 자동화 가정'!C16*80+H10*(1-'① 자동화 가정'!C17)*'① 자동화 가정'!C16*0.375*20+H10*(1-'① 자동화 가정'!C17)*'① 자동화 가정'!C16*0.625*3)*'① 자동화 가정'!F6+(H10*'① 자동화 가정'!C17*'① 자동화 가정'!C16*80+H10*(1-'① 자동화 가정'!C17)*'① 자동화 가정'!C16*0.375*20+H10*(1-'① 자동화 가정'!C17)*'① 자동화 가정'!C16*0.625*3)*'① 자동화 가정'!C12*'① 자동화 가정'!F7+(H10*'① 자동화 가정'!C17*'① 자동화 가정'!C16*80+H10*(1-'① 자동화 가정'!C17)*'① 자동화 가정'!C16*0.375*20+H10*(1-'① 자동화 가정'!C17)*'① 자동화 가정'!C16*0.625*3)*'① 자동화 가정'!C13*'① 자동화 가정'!F8)</f>
        <v>7344.2986051499993</v>
      </c>
      <c r="I11" s="43">
        <f>((I10*'① 자동화 가정'!C17*'① 자동화 가정'!C16*80+I10*(1-'① 자동화 가정'!C17)*'① 자동화 가정'!C16*0.375*20+I10*(1-'① 자동화 가정'!C17)*'① 자동화 가정'!C16*0.625*3)*'① 자동화 가정'!F6+(I10*'① 자동화 가정'!C17*'① 자동화 가정'!C16*80+I10*(1-'① 자동화 가정'!C17)*'① 자동화 가정'!C16*0.375*20+I10*(1-'① 자동화 가정'!C17)*'① 자동화 가정'!C16*0.625*3)*'① 자동화 가정'!C12*'① 자동화 가정'!F7+(I10*'① 자동화 가정'!C17*'① 자동화 가정'!C16*80+I10*(1-'① 자동화 가정'!C17)*'① 자동화 가정'!C16*0.375*20+I10*(1-'① 자동화 가정'!C17)*'① 자동화 가정'!C16*0.625*3)*'① 자동화 가정'!C13*'① 자동화 가정'!F8)</f>
        <v>8523.0131961000006</v>
      </c>
      <c r="J11" s="43">
        <f>((J10*'① 자동화 가정'!C17*'① 자동화 가정'!C16*80+J10*(1-'① 자동화 가정'!C17)*'① 자동화 가정'!C16*0.375*20+J10*(1-'① 자동화 가정'!C17)*'① 자동화 가정'!C16*0.625*3)*'① 자동화 가정'!F6+(J10*'① 자동화 가정'!C17*'① 자동화 가정'!C16*80+J10*(1-'① 자동화 가정'!C17)*'① 자동화 가정'!C16*0.375*20+J10*(1-'① 자동화 가정'!C17)*'① 자동화 가정'!C16*0.625*3)*'① 자동화 가정'!C12*'① 자동화 가정'!F7+(J10*'① 자동화 가정'!C17*'① 자동화 가정'!C16*80+J10*(1-'① 자동화 가정'!C17)*'① 자동화 가정'!C16*0.375*20+J10*(1-'① 자동화 가정'!C17)*'① 자동화 가정'!C16*0.625*3)*'① 자동화 가정'!C13*'① 자동화 가정'!F8)</f>
        <v>9701.7277870500038</v>
      </c>
      <c r="K11" s="43">
        <f>((K10*'① 자동화 가정'!C17*'① 자동화 가정'!C16*80+K10*(1-'① 자동화 가정'!C17)*'① 자동화 가정'!C16*0.375*20+K10*(1-'① 자동화 가정'!C17)*'① 자동화 가정'!C16*0.625*3)*'① 자동화 가정'!F6+(K10*'① 자동화 가정'!C17*'① 자동화 가정'!C16*80+K10*(1-'① 자동화 가정'!C17)*'① 자동화 가정'!C16*0.375*20+K10*(1-'① 자동화 가정'!C17)*'① 자동화 가정'!C16*0.625*3)*'① 자동화 가정'!C12*'① 자동화 가정'!F7+(K10*'① 자동화 가정'!C17*'① 자동화 가정'!C16*80+K10*(1-'① 자동화 가정'!C17)*'① 자동화 가정'!C16*0.375*20+K10*(1-'① 자동화 가정'!C17)*'① 자동화 가정'!C16*0.625*3)*'① 자동화 가정'!C13*'① 자동화 가정'!F8)</f>
        <v>10880.442378000002</v>
      </c>
      <c r="L11" s="43">
        <f>((L10*'① 자동화 가정'!C17*'① 자동화 가정'!C16*80+L10*(1-'① 자동화 가정'!C17)*'① 자동화 가정'!C16*0.375*20+L10*(1-'① 자동화 가정'!C17)*'① 자동화 가정'!C16*0.625*3)*'① 자동화 가정'!F6+(L10*'① 자동화 가정'!C17*'① 자동화 가정'!C16*80+L10*(1-'① 자동화 가정'!C17)*'① 자동화 가정'!C16*0.375*20+L10*(1-'① 자동화 가정'!C17)*'① 자동화 가정'!C16*0.625*3)*'① 자동화 가정'!C12*'① 자동화 가정'!F7+(L10*'① 자동화 가정'!C17*'① 자동화 가정'!C16*80+L10*(1-'① 자동화 가정'!C17)*'① 자동화 가정'!C16*0.375*20+L10*(1-'① 자동화 가정'!C17)*'① 자동화 가정'!C16*0.625*3)*'① 자동화 가정'!C13*'① 자동화 가정'!F8)</f>
        <v>12059.156968950003</v>
      </c>
      <c r="M11" s="43">
        <f>((M10*'① 자동화 가정'!C17*'① 자동화 가정'!C16*80+M10*(1-'① 자동화 가정'!C17)*'① 자동화 가정'!C16*0.375*20+M10*(1-'① 자동화 가정'!C17)*'① 자동화 가정'!C16*0.625*3)*'① 자동화 가정'!F6+(M10*'① 자동화 가정'!C17*'① 자동화 가정'!C16*80+M10*(1-'① 자동화 가정'!C17)*'① 자동화 가정'!C16*0.375*20+M10*(1-'① 자동화 가정'!C17)*'① 자동화 가정'!C16*0.625*3)*'① 자동화 가정'!C12*'① 자동화 가정'!F7+(M10*'① 자동화 가정'!C17*'① 자동화 가정'!C16*80+M10*(1-'① 자동화 가정'!C17)*'① 자동화 가정'!C16*0.375*20+M10*(1-'① 자동화 가정'!C17)*'① 자동화 가정'!C16*0.625*3)*'① 자동화 가정'!C13*'① 자동화 가정'!F8)</f>
        <v>13147.201206750002</v>
      </c>
      <c r="N11" s="43">
        <f>((N10*'① 자동화 가정'!C17*'① 자동화 가정'!C16*80+N10*(1-'① 자동화 가정'!C17)*'① 자동화 가정'!C16*0.375*20+N10*(1-'① 자동화 가정'!C17)*'① 자동화 가정'!C16*0.625*3)*'① 자동화 가정'!F6+(N10*'① 자동화 가정'!C17*'① 자동화 가정'!C16*80+N10*(1-'① 자동화 가정'!C17)*'① 자동화 가정'!C16*0.375*20+N10*(1-'① 자동화 가정'!C17)*'① 자동화 가정'!C16*0.625*3)*'① 자동화 가정'!C12*'① 자동화 가정'!F7+(N10*'① 자동화 가정'!C17*'① 자동화 가정'!C16*80+N10*(1-'① 자동화 가정'!C17)*'① 자동화 가정'!C16*0.375*20+N10*(1-'① 자동화 가정'!C17)*'① 자동화 가정'!C16*0.625*3)*'① 자동화 가정'!C13*'① 자동화 가정'!F8)</f>
        <v>14235.245444550001</v>
      </c>
      <c r="O11" s="44">
        <f>SUM(C11:N11)</f>
        <v>94931.859748050018</v>
      </c>
    </row>
    <row r="12" spans="2:16">
      <c r="B12" s="36" t="s">
        <v>97</v>
      </c>
      <c r="C12" s="45">
        <f>C11*'① 자동화 가정'!C18</f>
        <v>2031015.9105600002</v>
      </c>
      <c r="D12" s="45">
        <f>D11*'① 자동화 가정'!C18</f>
        <v>3681216.337890001</v>
      </c>
      <c r="E12" s="45">
        <f>E11*'① 자동화 가정'!C18</f>
        <v>5331416.7652200023</v>
      </c>
      <c r="F12" s="45">
        <f>F11*'① 자동화 가정'!C18</f>
        <v>6981617.1925499998</v>
      </c>
      <c r="G12" s="45">
        <f>G11*'① 자동화 가정'!C18</f>
        <v>8631817.6198800039</v>
      </c>
      <c r="H12" s="45">
        <f>H11*'① 자동화 가정'!C18</f>
        <v>10282018.047209999</v>
      </c>
      <c r="I12" s="45">
        <f>I11*'① 자동화 가정'!C18</f>
        <v>11932218.474540001</v>
      </c>
      <c r="J12" s="45">
        <f>J11*'① 자동화 가정'!C18</f>
        <v>13582418.901870005</v>
      </c>
      <c r="K12" s="45">
        <f>K11*'① 자동화 가정'!C18</f>
        <v>15232619.329200001</v>
      </c>
      <c r="L12" s="45">
        <f>L11*'① 자동화 가정'!C18</f>
        <v>16882819.756530005</v>
      </c>
      <c r="M12" s="45">
        <f>M11*'① 자동화 가정'!C18</f>
        <v>18406081.689450003</v>
      </c>
      <c r="N12" s="45">
        <f>N11*'① 자동화 가정'!C18</f>
        <v>19929343.622370001</v>
      </c>
      <c r="O12" s="46">
        <f>N11*'① 자동화 가정'!C18</f>
        <v>19929343.622370001</v>
      </c>
    </row>
    <row r="13" spans="2:16" ht="6" customHeight="1"/>
    <row r="14" spans="2:16">
      <c r="B14" s="24" t="s">
        <v>98</v>
      </c>
      <c r="C14" s="47">
        <f>ROUND('① 자동화 가정'!E26+'① 자동화 가정'!F26,0)</f>
        <v>9</v>
      </c>
      <c r="D14" s="47">
        <f>ROUND(C14*(1+'① 자동화 가정'!C14/12-'① 자동화 가정'!C15/12)+'① 자동화 가정'!F26,0)</f>
        <v>16</v>
      </c>
      <c r="E14" s="47">
        <f>ROUND(D14*(1+'① 자동화 가정'!C14/12-'① 자동화 가정'!C15/12)+'① 자동화 가정'!F26,0)</f>
        <v>23</v>
      </c>
      <c r="F14" s="47">
        <f>ROUND(E14*(1+'① 자동화 가정'!C14/12-'① 자동화 가정'!C15/12)+'① 자동화 가정'!F26,0)</f>
        <v>30</v>
      </c>
      <c r="G14" s="47">
        <f>ROUND(F14*(1+'① 자동화 가정'!C14/12-'① 자동화 가정'!C15/12)+'① 자동화 가정'!F26,0)</f>
        <v>37</v>
      </c>
      <c r="H14" s="47">
        <f>ROUND(G14*(1+'① 자동화 가정'!C14/12-'① 자동화 가정'!C15/12)+'① 자동화 가정'!F26,0)</f>
        <v>44</v>
      </c>
      <c r="I14" s="47">
        <f>ROUND(H14*(1+'① 자동화 가정'!C14/12-'① 자동화 가정'!C15/12)+'① 자동화 가정'!F26,0)</f>
        <v>51</v>
      </c>
      <c r="J14" s="47">
        <f>ROUND(I14*(1+'① 자동화 가정'!C14/12-'① 자동화 가정'!C15/12)+'① 자동화 가정'!F26,0)</f>
        <v>58</v>
      </c>
      <c r="K14" s="47">
        <f>ROUND(J14*(1+'① 자동화 가정'!C14/12-'① 자동화 가정'!C15/12)+'① 자동화 가정'!F26,0)</f>
        <v>65</v>
      </c>
      <c r="L14" s="47">
        <f>ROUND(K14*(1+'① 자동화 가정'!C14/12-'① 자동화 가정'!C15/12)+'① 자동화 가정'!F26,0)</f>
        <v>72</v>
      </c>
      <c r="M14" s="47">
        <f>ROUND(L14*(1+'① 자동화 가정'!C14/12-'① 자동화 가정'!C15/12)+'① 자동화 가정'!F26,0)</f>
        <v>79</v>
      </c>
      <c r="N14" s="47">
        <f>ROUND(M14*(1+'① 자동화 가정'!C14/12-'① 자동화 가정'!C15/12)+'① 자동화 가정'!F26,0)</f>
        <v>86</v>
      </c>
      <c r="O14" s="38">
        <f>N14</f>
        <v>86</v>
      </c>
    </row>
    <row r="15" spans="2:16">
      <c r="B15" s="24" t="s">
        <v>99</v>
      </c>
      <c r="C15" s="48">
        <f>((C14*'① 자동화 가정'!C17*'① 자동화 가정'!C16*80+C14*(1-'① 자동화 가정'!C17)*'① 자동화 가정'!C16*0.375*20+C14*(1-'① 자동화 가정'!C17)*'① 자동화 가정'!C16*0.625*3)*'① 자동화 가정'!F6+(C14*'① 자동화 가정'!C17*'① 자동화 가정'!C16*80+C14*(1-'① 자동화 가정'!C17)*'① 자동화 가정'!C16*0.375*20+C14*(1-'① 자동화 가정'!C17)*'① 자동화 가정'!C16*0.625*3)*'① 자동화 가정'!C12*'① 자동화 가정'!F7+(C14*'① 자동화 가정'!C17*'① 자동화 가정'!C16*80+C14*(1-'① 자동화 가정'!C17)*'① 자동화 가정'!C16*0.375*20+C14*(1-'① 자동화 가정'!C17)*'① 자동화 가정'!C16*0.625*3)*'① 자동화 가정'!C13*'① 자동화 가정'!F8)</f>
        <v>816.0331783500003</v>
      </c>
      <c r="D15" s="48">
        <f>((D14*'① 자동화 가정'!C17*'① 자동화 가정'!C16*80+D14*(1-'① 자동화 가정'!C17)*'① 자동화 가정'!C16*0.375*20+D14*(1-'① 자동화 가정'!C17)*'① 자동화 가정'!C16*0.625*3)*'① 자동화 가정'!F6+(D14*'① 자동화 가정'!C17*'① 자동화 가정'!C16*80+D14*(1-'① 자동화 가정'!C17)*'① 자동화 가정'!C16*0.375*20+D14*(1-'① 자동화 가정'!C17)*'① 자동화 가정'!C16*0.625*3)*'① 자동화 가정'!C12*'① 자동화 가정'!F7+(D14*'① 자동화 가정'!C17*'① 자동화 가정'!C16*80+D14*(1-'① 자동화 가정'!C17)*'① 자동화 가정'!C16*0.375*20+D14*(1-'① 자동화 가정'!C17)*'① 자동화 가정'!C16*0.625*3)*'① 자동화 가정'!C13*'① 자동화 가정'!F8)</f>
        <v>1450.7256504000002</v>
      </c>
      <c r="E15" s="48">
        <f>((E14*'① 자동화 가정'!C17*'① 자동화 가정'!C16*80+E14*(1-'① 자동화 가정'!C17)*'① 자동화 가정'!C16*0.375*20+E14*(1-'① 자동화 가정'!C17)*'① 자동화 가정'!C16*0.625*3)*'① 자동화 가정'!F6+(E14*'① 자동화 가정'!C17*'① 자동화 가정'!C16*80+E14*(1-'① 자동화 가정'!C17)*'① 자동화 가정'!C16*0.375*20+E14*(1-'① 자동화 가정'!C17)*'① 자동화 가정'!C16*0.625*3)*'① 자동화 가정'!C12*'① 자동화 가정'!F7+(E14*'① 자동화 가정'!C17*'① 자동화 가정'!C16*80+E14*(1-'① 자동화 가정'!C17)*'① 자동화 가정'!C16*0.375*20+E14*(1-'① 자동화 가정'!C17)*'① 자동화 가정'!C16*0.625*3)*'① 자동화 가정'!C13*'① 자동화 가정'!F8)</f>
        <v>2085.4181224500007</v>
      </c>
      <c r="F15" s="48">
        <f>((F14*'① 자동화 가정'!C17*'① 자동화 가정'!C16*80+F14*(1-'① 자동화 가정'!C17)*'① 자동화 가정'!C16*0.375*20+F14*(1-'① 자동화 가정'!C17)*'① 자동화 가정'!C16*0.625*3)*'① 자동화 가정'!F6+(F14*'① 자동화 가정'!C17*'① 자동화 가정'!C16*80+F14*(1-'① 자동화 가정'!C17)*'① 자동화 가정'!C16*0.375*20+F14*(1-'① 자동화 가정'!C17)*'① 자동화 가정'!C16*0.625*3)*'① 자동화 가정'!C12*'① 자동화 가정'!F7+(F14*'① 자동화 가정'!C17*'① 자동화 가정'!C16*80+F14*(1-'① 자동화 가정'!C17)*'① 자동화 가정'!C16*0.375*20+F14*(1-'① 자동화 가정'!C17)*'① 자동화 가정'!C16*0.625*3)*'① 자동화 가정'!C13*'① 자동화 가정'!F8)</f>
        <v>2720.1105945000004</v>
      </c>
      <c r="G15" s="48">
        <f>((G14*'① 자동화 가정'!C17*'① 자동화 가정'!C16*80+G14*(1-'① 자동화 가정'!C17)*'① 자동화 가정'!C16*0.375*20+G14*(1-'① 자동화 가정'!C17)*'① 자동화 가정'!C16*0.625*3)*'① 자동화 가정'!F6+(G14*'① 자동화 가정'!C17*'① 자동화 가정'!C16*80+G14*(1-'① 자동화 가정'!C17)*'① 자동화 가정'!C16*0.375*20+G14*(1-'① 자동화 가정'!C17)*'① 자동화 가정'!C16*0.625*3)*'① 자동화 가정'!C12*'① 자동화 가정'!F7+(G14*'① 자동화 가정'!C17*'① 자동화 가정'!C16*80+G14*(1-'① 자동화 가정'!C17)*'① 자동화 가정'!C16*0.375*20+G14*(1-'① 자동화 가정'!C17)*'① 자동화 가정'!C16*0.625*3)*'① 자동화 가정'!C13*'① 자동화 가정'!F8)</f>
        <v>3354.8030665500019</v>
      </c>
      <c r="H15" s="48">
        <f>((H14*'① 자동화 가정'!C17*'① 자동화 가정'!C16*80+H14*(1-'① 자동화 가정'!C17)*'① 자동화 가정'!C16*0.375*20+H14*(1-'① 자동화 가정'!C17)*'① 자동화 가정'!C16*0.625*3)*'① 자동화 가정'!F6+(H14*'① 자동화 가정'!C17*'① 자동화 가정'!C16*80+H14*(1-'① 자동화 가정'!C17)*'① 자동화 가정'!C16*0.375*20+H14*(1-'① 자동화 가정'!C17)*'① 자동화 가정'!C16*0.625*3)*'① 자동화 가정'!C12*'① 자동화 가정'!F7+(H14*'① 자동화 가정'!C17*'① 자동화 가정'!C16*80+H14*(1-'① 자동화 가정'!C17)*'① 자동화 가정'!C16*0.375*20+H14*(1-'① 자동화 가정'!C17)*'① 자동화 가정'!C16*0.625*3)*'① 자동화 가정'!C13*'① 자동화 가정'!F8)</f>
        <v>3989.4955386000006</v>
      </c>
      <c r="I15" s="48">
        <f>((I14*'① 자동화 가정'!C17*'① 자동화 가정'!C16*80+I14*(1-'① 자동화 가정'!C17)*'① 자동화 가정'!C16*0.375*20+I14*(1-'① 자동화 가정'!C17)*'① 자동화 가정'!C16*0.625*3)*'① 자동화 가정'!F6+(I14*'① 자동화 가정'!C17*'① 자동화 가정'!C16*80+I14*(1-'① 자동화 가정'!C17)*'① 자동화 가정'!C16*0.375*20+I14*(1-'① 자동화 가정'!C17)*'① 자동화 가정'!C16*0.625*3)*'① 자동화 가정'!C12*'① 자동화 가정'!F7+(I14*'① 자동화 가정'!C17*'① 자동화 가정'!C16*80+I14*(1-'① 자동화 가정'!C17)*'① 자동화 가정'!C16*0.375*20+I14*(1-'① 자동화 가정'!C17)*'① 자동화 가정'!C16*0.625*3)*'① 자동화 가정'!C13*'① 자동화 가정'!F8)</f>
        <v>4624.1880106500012</v>
      </c>
      <c r="J15" s="48">
        <f>((J14*'① 자동화 가정'!C17*'① 자동화 가정'!C16*80+J14*(1-'① 자동화 가정'!C17)*'① 자동화 가정'!C16*0.375*20+J14*(1-'① 자동화 가정'!C17)*'① 자동화 가정'!C16*0.625*3)*'① 자동화 가정'!F6+(J14*'① 자동화 가정'!C17*'① 자동화 가정'!C16*80+J14*(1-'① 자동화 가정'!C17)*'① 자동화 가정'!C16*0.375*20+J14*(1-'① 자동화 가정'!C17)*'① 자동화 가정'!C16*0.625*3)*'① 자동화 가정'!C12*'① 자동화 가정'!F7+(J14*'① 자동화 가정'!C17*'① 자동화 가정'!C16*80+J14*(1-'① 자동화 가정'!C17)*'① 자동화 가정'!C16*0.375*20+J14*(1-'① 자동화 가정'!C17)*'① 자동화 가정'!C16*0.625*3)*'① 자동화 가정'!C13*'① 자동화 가정'!F8)</f>
        <v>5258.8804827000013</v>
      </c>
      <c r="K15" s="48">
        <f>((K14*'① 자동화 가정'!C17*'① 자동화 가정'!C16*80+K14*(1-'① 자동화 가정'!C17)*'① 자동화 가정'!C16*0.375*20+K14*(1-'① 자동화 가정'!C17)*'① 자동화 가정'!C16*0.625*3)*'① 자동화 가정'!F6+(K14*'① 자동화 가정'!C17*'① 자동화 가정'!C16*80+K14*(1-'① 자동화 가정'!C17)*'① 자동화 가정'!C16*0.375*20+K14*(1-'① 자동화 가정'!C17)*'① 자동화 가정'!C16*0.625*3)*'① 자동화 가정'!C12*'① 자동화 가정'!F7+(K14*'① 자동화 가정'!C17*'① 자동화 가정'!C16*80+K14*(1-'① 자동화 가정'!C17)*'① 자동화 가정'!C16*0.375*20+K14*(1-'① 자동화 가정'!C17)*'① 자동화 가정'!C16*0.625*3)*'① 자동화 가정'!C13*'① 자동화 가정'!F8)</f>
        <v>5893.5729547500014</v>
      </c>
      <c r="L15" s="48">
        <f>((L14*'① 자동화 가정'!C17*'① 자동화 가정'!C16*80+L14*(1-'① 자동화 가정'!C17)*'① 자동화 가정'!C16*0.375*20+L14*(1-'① 자동화 가정'!C17)*'① 자동화 가정'!C16*0.625*3)*'① 자동화 가정'!F6+(L14*'① 자동화 가정'!C17*'① 자동화 가정'!C16*80+L14*(1-'① 자동화 가정'!C17)*'① 자동화 가정'!C16*0.375*20+L14*(1-'① 자동화 가정'!C17)*'① 자동화 가정'!C16*0.625*3)*'① 자동화 가정'!C12*'① 자동화 가정'!F7+(L14*'① 자동화 가정'!C17*'① 자동화 가정'!C16*80+L14*(1-'① 자동화 가정'!C17)*'① 자동화 가정'!C16*0.375*20+L14*(1-'① 자동화 가정'!C17)*'① 자동화 가정'!C16*0.625*3)*'① 자동화 가정'!C13*'① 자동화 가정'!F8)</f>
        <v>6528.2654268000024</v>
      </c>
      <c r="M15" s="48">
        <f>((M14*'① 자동화 가정'!C17*'① 자동화 가정'!C16*80+M14*(1-'① 자동화 가정'!C17)*'① 자동화 가정'!C16*0.375*20+M14*(1-'① 자동화 가정'!C17)*'① 자동화 가정'!C16*0.625*3)*'① 자동화 가정'!F6+(M14*'① 자동화 가정'!C17*'① 자동화 가정'!C16*80+M14*(1-'① 자동화 가정'!C17)*'① 자동화 가정'!C16*0.375*20+M14*(1-'① 자동화 가정'!C17)*'① 자동화 가정'!C16*0.625*3)*'① 자동화 가정'!C12*'① 자동화 가정'!F7+(M14*'① 자동화 가정'!C17*'① 자동화 가정'!C16*80+M14*(1-'① 자동화 가정'!C17)*'① 자동화 가정'!C16*0.375*20+M14*(1-'① 자동화 가정'!C17)*'① 자동화 가정'!C16*0.625*3)*'① 자동화 가정'!C13*'① 자동화 가정'!F8)</f>
        <v>7162.9578988500034</v>
      </c>
      <c r="N15" s="48">
        <f>((N14*'① 자동화 가정'!C17*'① 자동화 가정'!C16*80+N14*(1-'① 자동화 가정'!C17)*'① 자동화 가정'!C16*0.375*20+N14*(1-'① 자동화 가정'!C17)*'① 자동화 가정'!C16*0.625*3)*'① 자동화 가정'!F6+(N14*'① 자동화 가정'!C17*'① 자동화 가정'!C16*80+N14*(1-'① 자동화 가정'!C17)*'① 자동화 가정'!C16*0.375*20+N14*(1-'① 자동화 가정'!C17)*'① 자동화 가정'!C16*0.625*3)*'① 자동화 가정'!C12*'① 자동화 가정'!F7+(N14*'① 자동화 가정'!C17*'① 자동화 가정'!C16*80+N14*(1-'① 자동화 가정'!C17)*'① 자동화 가정'!C16*0.375*20+N14*(1-'① 자동화 가정'!C17)*'① 자동화 가정'!C16*0.625*3)*'① 자동화 가정'!C13*'① 자동화 가정'!F8)</f>
        <v>7797.6503708999999</v>
      </c>
      <c r="O15" s="44">
        <f>SUM(C15:N15)</f>
        <v>51682.101295500011</v>
      </c>
    </row>
    <row r="16" spans="2:16">
      <c r="B16" s="36" t="s">
        <v>100</v>
      </c>
      <c r="C16" s="45">
        <f>C15*'① 자동화 가정'!C18</f>
        <v>1142446.4496900004</v>
      </c>
      <c r="D16" s="45">
        <f>D15*'① 자동화 가정'!C18</f>
        <v>2031015.9105600002</v>
      </c>
      <c r="E16" s="45">
        <f>E15*'① 자동화 가정'!C18</f>
        <v>2919585.3714300012</v>
      </c>
      <c r="F16" s="45">
        <f>F15*'① 자동화 가정'!C18</f>
        <v>3808154.8323000004</v>
      </c>
      <c r="G16" s="45">
        <f>G15*'① 자동화 가정'!C18</f>
        <v>4696724.2931700023</v>
      </c>
      <c r="H16" s="45">
        <f>H15*'① 자동화 가정'!C18</f>
        <v>5585293.754040001</v>
      </c>
      <c r="I16" s="45">
        <f>I15*'① 자동화 가정'!C18</f>
        <v>6473863.2149100015</v>
      </c>
      <c r="J16" s="45">
        <f>J15*'① 자동화 가정'!C18</f>
        <v>7362432.675780002</v>
      </c>
      <c r="K16" s="45">
        <f>K15*'① 자동화 가정'!C18</f>
        <v>8251002.1366500016</v>
      </c>
      <c r="L16" s="45">
        <f>L15*'① 자동화 가정'!C18</f>
        <v>9139571.5975200031</v>
      </c>
      <c r="M16" s="45">
        <f>M15*'① 자동화 가정'!C18</f>
        <v>10028141.058390005</v>
      </c>
      <c r="N16" s="45">
        <f>N15*'① 자동화 가정'!C18</f>
        <v>10916710.51926</v>
      </c>
      <c r="O16" s="46">
        <f>N15*'① 자동화 가정'!C18</f>
        <v>10916710.51926</v>
      </c>
    </row>
    <row r="17" spans="2:15" ht="6" customHeight="1"/>
    <row r="18" spans="2:15">
      <c r="B18" s="27" t="s">
        <v>101</v>
      </c>
      <c r="C18" s="49">
        <f>ROUND('① 자동화 가정'!E27+'① 자동화 가정'!F27,0)</f>
        <v>10</v>
      </c>
      <c r="D18" s="49">
        <f>ROUND(C18*(1+'① 자동화 가정'!C14/12-'① 자동화 가정'!C15/12)+'① 자동화 가정'!F27,0)</f>
        <v>18</v>
      </c>
      <c r="E18" s="49">
        <f>ROUND(D18*(1+'① 자동화 가정'!C14/12-'① 자동화 가정'!C15/12)+'① 자동화 가정'!F27,0)</f>
        <v>26</v>
      </c>
      <c r="F18" s="49">
        <f>ROUND(E18*(1+'① 자동화 가정'!C14/12-'① 자동화 가정'!C15/12)+'① 자동화 가정'!F27,0)</f>
        <v>34</v>
      </c>
      <c r="G18" s="49">
        <f>ROUND(F18*(1+'① 자동화 가정'!C14/12-'① 자동화 가정'!C15/12)+'① 자동화 가정'!F27,0)</f>
        <v>42</v>
      </c>
      <c r="H18" s="49">
        <f>ROUND(G18*(1+'① 자동화 가정'!C14/12-'① 자동화 가정'!C15/12)+'① 자동화 가정'!F27,0)</f>
        <v>50</v>
      </c>
      <c r="I18" s="49">
        <f>ROUND(H18*(1+'① 자동화 가정'!C14/12-'① 자동화 가정'!C15/12)+'① 자동화 가정'!F27,0)</f>
        <v>58</v>
      </c>
      <c r="J18" s="49">
        <f>ROUND(I18*(1+'① 자동화 가정'!C14/12-'① 자동화 가정'!C15/12)+'① 자동화 가정'!F27,0)</f>
        <v>66</v>
      </c>
      <c r="K18" s="49">
        <f>ROUND(J18*(1+'① 자동화 가정'!C14/12-'① 자동화 가정'!C15/12)+'① 자동화 가정'!F27,0)</f>
        <v>74</v>
      </c>
      <c r="L18" s="49">
        <f>ROUND(K18*(1+'① 자동화 가정'!C14/12-'① 자동화 가정'!C15/12)+'① 자동화 가정'!F27,0)</f>
        <v>82</v>
      </c>
      <c r="M18" s="49">
        <f>ROUND(L18*(1+'① 자동화 가정'!C14/12-'① 자동화 가정'!C15/12)+'① 자동화 가정'!F27,0)</f>
        <v>90</v>
      </c>
      <c r="N18" s="49">
        <f>ROUND(M18*(1+'① 자동화 가정'!C14/12-'① 자동화 가정'!C15/12)+'① 자동화 가정'!F27,0)</f>
        <v>98</v>
      </c>
      <c r="O18" s="38">
        <f>N18</f>
        <v>98</v>
      </c>
    </row>
    <row r="19" spans="2:15">
      <c r="B19" s="27" t="s">
        <v>102</v>
      </c>
      <c r="C19" s="50">
        <f>((C18*'① 자동화 가정'!C17*'① 자동화 가정'!C16*80+C18*(1-'① 자동화 가정'!C17)*'① 자동화 가정'!C16*0.375*20+C18*(1-'① 자동화 가정'!C17)*'① 자동화 가정'!C16*0.625*3)*'① 자동화 가정'!F6+(C18*'① 자동화 가정'!C17*'① 자동화 가정'!C16*80+C18*(1-'① 자동화 가정'!C17)*'① 자동화 가정'!C16*0.375*20+C18*(1-'① 자동화 가정'!C17)*'① 자동화 가정'!C16*0.625*3)*'① 자동화 가정'!C12*'① 자동화 가정'!F7+(C18*'① 자동화 가정'!C17*'① 자동화 가정'!C16*80+C18*(1-'① 자동화 가정'!C17)*'① 자동화 가정'!C16*0.375*20+C18*(1-'① 자동화 가정'!C17)*'① 자동화 가정'!C16*0.625*3)*'① 자동화 가정'!C13*'① 자동화 가정'!F8)</f>
        <v>906.70353150000005</v>
      </c>
      <c r="D19" s="50">
        <f>((D18*'① 자동화 가정'!C17*'① 자동화 가정'!C16*80+D18*(1-'① 자동화 가정'!C17)*'① 자동화 가정'!C16*0.375*20+D18*(1-'① 자동화 가정'!C17)*'① 자동화 가정'!C16*0.625*3)*'① 자동화 가정'!F6+(D18*'① 자동화 가정'!C17*'① 자동화 가정'!C16*80+D18*(1-'① 자동화 가정'!C17)*'① 자동화 가정'!C16*0.375*20+D18*(1-'① 자동화 가정'!C17)*'① 자동화 가정'!C16*0.625*3)*'① 자동화 가정'!C12*'① 자동화 가정'!F7+(D18*'① 자동화 가정'!C17*'① 자동화 가정'!C16*80+D18*(1-'① 자동화 가정'!C17)*'① 자동화 가정'!C16*0.375*20+D18*(1-'① 자동화 가정'!C17)*'① 자동화 가정'!C16*0.625*3)*'① 자동화 가정'!C13*'① 자동화 가정'!F8)</f>
        <v>1632.0663567000006</v>
      </c>
      <c r="E19" s="50">
        <f>((E18*'① 자동화 가정'!C17*'① 자동화 가정'!C16*80+E18*(1-'① 자동화 가정'!C17)*'① 자동화 가정'!C16*0.375*20+E18*(1-'① 자동화 가정'!C17)*'① 자동화 가정'!C16*0.625*3)*'① 자동화 가정'!F6+(E18*'① 자동화 가정'!C17*'① 자동화 가정'!C16*80+E18*(1-'① 자동화 가정'!C17)*'① 자동화 가정'!C16*0.375*20+E18*(1-'① 자동화 가정'!C17)*'① 자동화 가정'!C16*0.625*3)*'① 자동화 가정'!C12*'① 자동화 가정'!F7+(E18*'① 자동화 가정'!C17*'① 자동화 가정'!C16*80+E18*(1-'① 자동화 가정'!C17)*'① 자동화 가정'!C16*0.375*20+E18*(1-'① 자동화 가정'!C17)*'① 자동화 가정'!C16*0.625*3)*'① 자동화 가정'!C13*'① 자동화 가정'!F8)</f>
        <v>2357.4291819000009</v>
      </c>
      <c r="F19" s="50">
        <f>((F18*'① 자동화 가정'!C17*'① 자동화 가정'!C16*80+F18*(1-'① 자동화 가정'!C17)*'① 자동화 가정'!C16*0.375*20+F18*(1-'① 자동화 가정'!C17)*'① 자동화 가정'!C16*0.625*3)*'① 자동화 가정'!F6+(F18*'① 자동화 가정'!C17*'① 자동화 가정'!C16*80+F18*(1-'① 자동화 가정'!C17)*'① 자동화 가정'!C16*0.375*20+F18*(1-'① 자동화 가정'!C17)*'① 자동화 가정'!C16*0.625*3)*'① 자동화 가정'!C12*'① 자동화 가정'!F7+(F18*'① 자동화 가정'!C17*'① 자동화 가정'!C16*80+F18*(1-'① 자동화 가정'!C17)*'① 자동화 가정'!C16*0.375*20+F18*(1-'① 자동화 가정'!C17)*'① 자동화 가정'!C16*0.625*3)*'① 자동화 가정'!C13*'① 자동화 가정'!F8)</f>
        <v>3082.7920071000012</v>
      </c>
      <c r="G19" s="50">
        <f>((G18*'① 자동화 가정'!C17*'① 자동화 가정'!C16*80+G18*(1-'① 자동화 가정'!C17)*'① 자동화 가정'!C16*0.375*20+G18*(1-'① 자동화 가정'!C17)*'① 자동화 가정'!C16*0.625*3)*'① 자동화 가정'!F6+(G18*'① 자동화 가정'!C17*'① 자동화 가정'!C16*80+G18*(1-'① 자동화 가정'!C17)*'① 자동화 가정'!C16*0.375*20+G18*(1-'① 자동화 가정'!C17)*'① 자동화 가정'!C16*0.625*3)*'① 자동화 가정'!C12*'① 자동화 가정'!F7+(G18*'① 자동화 가정'!C17*'① 자동화 가정'!C16*80+G18*(1-'① 자동화 가정'!C17)*'① 자동화 가정'!C16*0.375*20+G18*(1-'① 자동화 가정'!C17)*'① 자동화 가정'!C16*0.625*3)*'① 자동화 가정'!C13*'① 자동화 가정'!F8)</f>
        <v>3808.1548323000015</v>
      </c>
      <c r="H19" s="50">
        <f>((H18*'① 자동화 가정'!C17*'① 자동화 가정'!C16*80+H18*(1-'① 자동화 가정'!C17)*'① 자동화 가정'!C16*0.375*20+H18*(1-'① 자동화 가정'!C17)*'① 자동화 가정'!C16*0.625*3)*'① 자동화 가정'!F6+(H18*'① 자동화 가정'!C17*'① 자동화 가정'!C16*80+H18*(1-'① 자동화 가정'!C17)*'① 자동화 가정'!C16*0.375*20+H18*(1-'① 자동화 가정'!C17)*'① 자동화 가정'!C16*0.625*3)*'① 자동화 가정'!C12*'① 자동화 가정'!F7+(H18*'① 자동화 가정'!C17*'① 자동화 가정'!C16*80+H18*(1-'① 자동화 가정'!C17)*'① 자동화 가정'!C16*0.375*20+H18*(1-'① 자동화 가정'!C17)*'① 자동화 가정'!C16*0.625*3)*'① 자동화 가정'!C13*'① 자동화 가정'!F8)</f>
        <v>4533.5176575000005</v>
      </c>
      <c r="I19" s="50">
        <f>((I18*'① 자동화 가정'!C17*'① 자동화 가정'!C16*80+I18*(1-'① 자동화 가정'!C17)*'① 자동화 가정'!C16*0.375*20+I18*(1-'① 자동화 가정'!C17)*'① 자동화 가정'!C16*0.625*3)*'① 자동화 가정'!F6+(I18*'① 자동화 가정'!C17*'① 자동화 가정'!C16*80+I18*(1-'① 자동화 가정'!C17)*'① 자동화 가정'!C16*0.375*20+I18*(1-'① 자동화 가정'!C17)*'① 자동화 가정'!C16*0.625*3)*'① 자동화 가정'!C12*'① 자동화 가정'!F7+(I18*'① 자동화 가정'!C17*'① 자동화 가정'!C16*80+I18*(1-'① 자동화 가정'!C17)*'① 자동화 가정'!C16*0.375*20+I18*(1-'① 자동화 가정'!C17)*'① 자동화 가정'!C16*0.625*3)*'① 자동화 가정'!C13*'① 자동화 가정'!F8)</f>
        <v>5258.8804827000013</v>
      </c>
      <c r="J19" s="50">
        <f>((J18*'① 자동화 가정'!C17*'① 자동화 가정'!C16*80+J18*(1-'① 자동화 가정'!C17)*'① 자동화 가정'!C16*0.375*20+J18*(1-'① 자동화 가정'!C17)*'① 자동화 가정'!C16*0.625*3)*'① 자동화 가정'!F6+(J18*'① 자동화 가정'!C17*'① 자동화 가정'!C16*80+J18*(1-'① 자동화 가정'!C17)*'① 자동화 가정'!C16*0.375*20+J18*(1-'① 자동화 가정'!C17)*'① 자동화 가정'!C16*0.625*3)*'① 자동화 가정'!C12*'① 자동화 가정'!F7+(J18*'① 자동화 가정'!C17*'① 자동화 가정'!C16*80+J18*(1-'① 자동화 가정'!C17)*'① 자동화 가정'!C16*0.375*20+J18*(1-'① 자동화 가정'!C17)*'① 자동화 가정'!C16*0.625*3)*'① 자동화 가정'!C13*'① 자동화 가정'!F8)</f>
        <v>5984.243307900002</v>
      </c>
      <c r="K19" s="50">
        <f>((K18*'① 자동화 가정'!C17*'① 자동화 가정'!C16*80+K18*(1-'① 자동화 가정'!C17)*'① 자동화 가정'!C16*0.375*20+K18*(1-'① 자동화 가정'!C17)*'① 자동화 가정'!C16*0.625*3)*'① 자동화 가정'!F6+(K18*'① 자동화 가정'!C17*'① 자동화 가정'!C16*80+K18*(1-'① 자동화 가정'!C17)*'① 자동화 가정'!C16*0.375*20+K18*(1-'① 자동화 가정'!C17)*'① 자동화 가정'!C16*0.625*3)*'① 자동화 가정'!C12*'① 자동화 가정'!F7+(K18*'① 자동화 가정'!C17*'① 자동화 가정'!C16*80+K18*(1-'① 자동화 가정'!C17)*'① 자동화 가정'!C16*0.375*20+K18*(1-'① 자동화 가정'!C17)*'① 자동화 가정'!C16*0.625*3)*'① 자동화 가정'!C13*'① 자동화 가정'!F8)</f>
        <v>6709.6061331000037</v>
      </c>
      <c r="L19" s="50">
        <f>((L18*'① 자동화 가정'!C17*'① 자동화 가정'!C16*80+L18*(1-'① 자동화 가정'!C17)*'① 자동화 가정'!C16*0.375*20+L18*(1-'① 자동화 가정'!C17)*'① 자동화 가정'!C16*0.625*3)*'① 자동화 가정'!F6+(L18*'① 자동화 가정'!C17*'① 자동화 가정'!C16*80+L18*(1-'① 자동화 가정'!C17)*'① 자동화 가정'!C16*0.375*20+L18*(1-'① 자동화 가정'!C17)*'① 자동화 가정'!C16*0.625*3)*'① 자동화 가정'!C12*'① 자동화 가정'!F7+(L18*'① 자동화 가정'!C17*'① 자동화 가정'!C16*80+L18*(1-'① 자동화 가정'!C17)*'① 자동화 가정'!C16*0.375*20+L18*(1-'① 자동화 가정'!C17)*'① 자동화 가정'!C16*0.625*3)*'① 자동화 가정'!C13*'① 자동화 가정'!F8)</f>
        <v>7434.9689583000036</v>
      </c>
      <c r="M19" s="50">
        <f>((M18*'① 자동화 가정'!C17*'① 자동화 가정'!C16*80+M18*(1-'① 자동화 가정'!C17)*'① 자동화 가정'!C16*0.375*20+M18*(1-'① 자동화 가정'!C17)*'① 자동화 가정'!C16*0.625*3)*'① 자동화 가정'!F6+(M18*'① 자동화 가정'!C17*'① 자동화 가정'!C16*80+M18*(1-'① 자동화 가정'!C17)*'① 자동화 가정'!C16*0.375*20+M18*(1-'① 자동화 가정'!C17)*'① 자동화 가정'!C16*0.625*3)*'① 자동화 가정'!C12*'① 자동화 가정'!F7+(M18*'① 자동화 가정'!C17*'① 자동화 가정'!C16*80+M18*(1-'① 자동화 가정'!C17)*'① 자동화 가정'!C16*0.375*20+M18*(1-'① 자동화 가정'!C17)*'① 자동화 가정'!C16*0.625*3)*'① 자동화 가정'!C13*'① 자동화 가정'!F8)</f>
        <v>8160.3317835000016</v>
      </c>
      <c r="N19" s="50">
        <f>((N18*'① 자동화 가정'!C17*'① 자동화 가정'!C16*80+N18*(1-'① 자동화 가정'!C17)*'① 자동화 가정'!C16*0.375*20+N18*(1-'① 자동화 가정'!C17)*'① 자동화 가정'!C16*0.625*3)*'① 자동화 가정'!F6+(N18*'① 자동화 가정'!C17*'① 자동화 가정'!C16*80+N18*(1-'① 자동화 가정'!C17)*'① 자동화 가정'!C16*0.375*20+N18*(1-'① 자동화 가정'!C17)*'① 자동화 가정'!C16*0.625*3)*'① 자동화 가정'!C12*'① 자동화 가정'!F7+(N18*'① 자동화 가정'!C17*'① 자동화 가정'!C16*80+N18*(1-'① 자동화 가정'!C17)*'① 자동화 가정'!C16*0.375*20+N18*(1-'① 자동화 가정'!C17)*'① 자동화 가정'!C16*0.625*3)*'① 자동화 가정'!C13*'① 자동화 가정'!F8)</f>
        <v>8885.6946087000015</v>
      </c>
      <c r="O19" s="44">
        <f>SUM(C19:N19)</f>
        <v>58754.388841200016</v>
      </c>
    </row>
    <row r="20" spans="2:15">
      <c r="B20" s="36" t="s">
        <v>103</v>
      </c>
      <c r="C20" s="45">
        <f>C19*'① 자동화 가정'!C18</f>
        <v>1269384.9441</v>
      </c>
      <c r="D20" s="45">
        <f>D19*'① 자동화 가정'!C18</f>
        <v>2284892.8993800008</v>
      </c>
      <c r="E20" s="45">
        <f>E19*'① 자동화 가정'!C18</f>
        <v>3300400.8546600011</v>
      </c>
      <c r="F20" s="45">
        <f>F19*'① 자동화 가정'!C18</f>
        <v>4315908.8099400019</v>
      </c>
      <c r="G20" s="45">
        <f>G19*'① 자동화 가정'!C18</f>
        <v>5331416.7652200023</v>
      </c>
      <c r="H20" s="45">
        <f>H19*'① 자동화 가정'!C18</f>
        <v>6346924.7205000008</v>
      </c>
      <c r="I20" s="45">
        <f>I19*'① 자동화 가정'!C18</f>
        <v>7362432.675780002</v>
      </c>
      <c r="J20" s="45">
        <f>J19*'① 자동화 가정'!C18</f>
        <v>8377940.6310600033</v>
      </c>
      <c r="K20" s="45">
        <f>K19*'① 자동화 가정'!C18</f>
        <v>9393448.5863400046</v>
      </c>
      <c r="L20" s="45">
        <f>L19*'① 자동화 가정'!C18</f>
        <v>10408956.541620005</v>
      </c>
      <c r="M20" s="45">
        <f>M19*'① 자동화 가정'!C18</f>
        <v>11424464.496900002</v>
      </c>
      <c r="N20" s="45">
        <f>N19*'① 자동화 가정'!C18</f>
        <v>12439972.452180002</v>
      </c>
      <c r="O20" s="46">
        <f>N19*'① 자동화 가정'!C18</f>
        <v>12439972.452180002</v>
      </c>
    </row>
    <row r="21" spans="2:15" ht="6" customHeight="1"/>
    <row r="22" spans="2:15">
      <c r="B22" s="30" t="s">
        <v>104</v>
      </c>
      <c r="C22" s="51">
        <f>ROUND('① 자동화 가정'!E28+'① 자동화 가정'!F28,0)</f>
        <v>5</v>
      </c>
      <c r="D22" s="51">
        <f>ROUND(C22*(1+'① 자동화 가정'!C14/12-'① 자동화 가정'!C15/12)+'① 자동화 가정'!F28,0)</f>
        <v>9</v>
      </c>
      <c r="E22" s="51">
        <f>ROUND(D22*(1+'① 자동화 가정'!C14/12-'① 자동화 가정'!C15/12)+'① 자동화 가정'!F28,0)</f>
        <v>13</v>
      </c>
      <c r="F22" s="51">
        <f>ROUND(E22*(1+'① 자동화 가정'!C14/12-'① 자동화 가정'!C15/12)+'① 자동화 가정'!F28,0)</f>
        <v>17</v>
      </c>
      <c r="G22" s="51">
        <f>ROUND(F22*(1+'① 자동화 가정'!C14/12-'① 자동화 가정'!C15/12)+'① 자동화 가정'!F28,0)</f>
        <v>21</v>
      </c>
      <c r="H22" s="51">
        <f>ROUND(G22*(1+'① 자동화 가정'!C14/12-'① 자동화 가정'!C15/12)+'① 자동화 가정'!F28,0)</f>
        <v>25</v>
      </c>
      <c r="I22" s="51">
        <f>ROUND(H22*(1+'① 자동화 가정'!C14/12-'① 자동화 가정'!C15/12)+'① 자동화 가정'!F28,0)</f>
        <v>29</v>
      </c>
      <c r="J22" s="51">
        <f>ROUND(I22*(1+'① 자동화 가정'!C14/12-'① 자동화 가정'!C15/12)+'① 자동화 가정'!F28,0)</f>
        <v>33</v>
      </c>
      <c r="K22" s="51">
        <f>ROUND(J22*(1+'① 자동화 가정'!C14/12-'① 자동화 가정'!C15/12)+'① 자동화 가정'!F28,0)</f>
        <v>37</v>
      </c>
      <c r="L22" s="51">
        <f>ROUND(K22*(1+'① 자동화 가정'!C14/12-'① 자동화 가정'!C15/12)+'① 자동화 가정'!F28,0)</f>
        <v>41</v>
      </c>
      <c r="M22" s="51">
        <f>ROUND(L22*(1+'① 자동화 가정'!C14/12-'① 자동화 가정'!C15/12)+'① 자동화 가정'!F28,0)</f>
        <v>45</v>
      </c>
      <c r="N22" s="51">
        <f>ROUND(M22*(1+'① 자동화 가정'!C14/12-'① 자동화 가정'!C15/12)+'① 자동화 가정'!F28,0)</f>
        <v>49</v>
      </c>
      <c r="O22" s="38">
        <f>N22</f>
        <v>49</v>
      </c>
    </row>
    <row r="23" spans="2:15">
      <c r="B23" s="30" t="s">
        <v>105</v>
      </c>
      <c r="C23" s="52">
        <f>((C22*'① 자동화 가정'!C17*'① 자동화 가정'!C16*80+C22*(1-'① 자동화 가정'!C17)*'① 자동화 가정'!C16*0.375*20+C22*(1-'① 자동화 가정'!C17)*'① 자동화 가정'!C16*0.625*3)*'① 자동화 가정'!F6+(C22*'① 자동화 가정'!C17*'① 자동화 가정'!C16*80+C22*(1-'① 자동화 가정'!C17)*'① 자동화 가정'!C16*0.375*20+C22*(1-'① 자동화 가정'!C17)*'① 자동화 가정'!C16*0.625*3)*'① 자동화 가정'!C12*'① 자동화 가정'!F7+(C22*'① 자동화 가정'!C17*'① 자동화 가정'!C16*80+C22*(1-'① 자동화 가정'!C17)*'① 자동화 가정'!C16*0.375*20+C22*(1-'① 자동화 가정'!C17)*'① 자동화 가정'!C16*0.625*3)*'① 자동화 가정'!C13*'① 자동화 가정'!F8)</f>
        <v>453.35176575000003</v>
      </c>
      <c r="D23" s="52">
        <f>((D22*'① 자동화 가정'!C17*'① 자동화 가정'!C16*80+D22*(1-'① 자동화 가정'!C17)*'① 자동화 가정'!C16*0.375*20+D22*(1-'① 자동화 가정'!C17)*'① 자동화 가정'!C16*0.625*3)*'① 자동화 가정'!F6+(D22*'① 자동화 가정'!C17*'① 자동화 가정'!C16*80+D22*(1-'① 자동화 가정'!C17)*'① 자동화 가정'!C16*0.375*20+D22*(1-'① 자동화 가정'!C17)*'① 자동화 가정'!C16*0.625*3)*'① 자동화 가정'!C12*'① 자동화 가정'!F7+(D22*'① 자동화 가정'!C17*'① 자동화 가정'!C16*80+D22*(1-'① 자동화 가정'!C17)*'① 자동화 가정'!C16*0.375*20+D22*(1-'① 자동화 가정'!C17)*'① 자동화 가정'!C16*0.625*3)*'① 자동화 가정'!C13*'① 자동화 가정'!F8)</f>
        <v>816.0331783500003</v>
      </c>
      <c r="E23" s="52">
        <f>((E22*'① 자동화 가정'!C17*'① 자동화 가정'!C16*80+E22*(1-'① 자동화 가정'!C17)*'① 자동화 가정'!C16*0.375*20+E22*(1-'① 자동화 가정'!C17)*'① 자동화 가정'!C16*0.625*3)*'① 자동화 가정'!F6+(E22*'① 자동화 가정'!C17*'① 자동화 가정'!C16*80+E22*(1-'① 자동화 가정'!C17)*'① 자동화 가정'!C16*0.375*20+E22*(1-'① 자동화 가정'!C17)*'① 자동화 가정'!C16*0.625*3)*'① 자동화 가정'!C12*'① 자동화 가정'!F7+(E22*'① 자동화 가정'!C17*'① 자동화 가정'!C16*80+E22*(1-'① 자동화 가정'!C17)*'① 자동화 가정'!C16*0.375*20+E22*(1-'① 자동화 가정'!C17)*'① 자동화 가정'!C16*0.625*3)*'① 자동화 가정'!C13*'① 자동화 가정'!F8)</f>
        <v>1178.7145909500005</v>
      </c>
      <c r="F23" s="52">
        <f>((F22*'① 자동화 가정'!C17*'① 자동화 가정'!C16*80+F22*(1-'① 자동화 가정'!C17)*'① 자동화 가정'!C16*0.375*20+F22*(1-'① 자동화 가정'!C17)*'① 자동화 가정'!C16*0.625*3)*'① 자동화 가정'!F6+(F22*'① 자동화 가정'!C17*'① 자동화 가정'!C16*80+F22*(1-'① 자동화 가정'!C17)*'① 자동화 가정'!C16*0.375*20+F22*(1-'① 자동화 가정'!C17)*'① 자동화 가정'!C16*0.625*3)*'① 자동화 가정'!C12*'① 자동화 가정'!F7+(F22*'① 자동화 가정'!C17*'① 자동화 가정'!C16*80+F22*(1-'① 자동화 가정'!C17)*'① 자동화 가정'!C16*0.375*20+F22*(1-'① 자동화 가정'!C17)*'① 자동화 가정'!C16*0.625*3)*'① 자동화 가정'!C13*'① 자동화 가정'!F8)</f>
        <v>1541.3960035500006</v>
      </c>
      <c r="G23" s="52">
        <f>((G22*'① 자동화 가정'!C17*'① 자동화 가정'!C16*80+G22*(1-'① 자동화 가정'!C17)*'① 자동화 가정'!C16*0.375*20+G22*(1-'① 자동화 가정'!C17)*'① 자동화 가정'!C16*0.625*3)*'① 자동화 가정'!F6+(G22*'① 자동화 가정'!C17*'① 자동화 가정'!C16*80+G22*(1-'① 자동화 가정'!C17)*'① 자동화 가정'!C16*0.375*20+G22*(1-'① 자동화 가정'!C17)*'① 자동화 가정'!C16*0.625*3)*'① 자동화 가정'!C12*'① 자동화 가정'!F7+(G22*'① 자동화 가정'!C17*'① 자동화 가정'!C16*80+G22*(1-'① 자동화 가정'!C17)*'① 자동화 가정'!C16*0.375*20+G22*(1-'① 자동화 가정'!C17)*'① 자동화 가정'!C16*0.625*3)*'① 자동화 가정'!C13*'① 자동화 가정'!F8)</f>
        <v>1904.0774161500008</v>
      </c>
      <c r="H23" s="52">
        <f>((H22*'① 자동화 가정'!C17*'① 자동화 가정'!C16*80+H22*(1-'① 자동화 가정'!C17)*'① 자동화 가정'!C16*0.375*20+H22*(1-'① 자동화 가정'!C17)*'① 자동화 가정'!C16*0.625*3)*'① 자동화 가정'!F6+(H22*'① 자동화 가정'!C17*'① 자동화 가정'!C16*80+H22*(1-'① 자동화 가정'!C17)*'① 자동화 가정'!C16*0.375*20+H22*(1-'① 자동화 가정'!C17)*'① 자동화 가정'!C16*0.625*3)*'① 자동화 가정'!C12*'① 자동화 가정'!F7+(H22*'① 자동화 가정'!C17*'① 자동화 가정'!C16*80+H22*(1-'① 자동화 가정'!C17)*'① 자동화 가정'!C16*0.375*20+H22*(1-'① 자동화 가정'!C17)*'① 자동화 가정'!C16*0.625*3)*'① 자동화 가정'!C13*'① 자동화 가정'!F8)</f>
        <v>2266.7588287500002</v>
      </c>
      <c r="I23" s="52">
        <f>((I22*'① 자동화 가정'!C17*'① 자동화 가정'!C16*80+I22*(1-'① 자동화 가정'!C17)*'① 자동화 가정'!C16*0.375*20+I22*(1-'① 자동화 가정'!C17)*'① 자동화 가정'!C16*0.625*3)*'① 자동화 가정'!F6+(I22*'① 자동화 가정'!C17*'① 자동화 가정'!C16*80+I22*(1-'① 자동화 가정'!C17)*'① 자동화 가정'!C16*0.375*20+I22*(1-'① 자동화 가정'!C17)*'① 자동화 가정'!C16*0.625*3)*'① 자동화 가정'!C12*'① 자동화 가정'!F7+(I22*'① 자동화 가정'!C17*'① 자동화 가정'!C16*80+I22*(1-'① 자동화 가정'!C17)*'① 자동화 가정'!C16*0.375*20+I22*(1-'① 자동화 가정'!C17)*'① 자동화 가정'!C16*0.625*3)*'① 자동화 가정'!C13*'① 자동화 가정'!F8)</f>
        <v>2629.4402413500006</v>
      </c>
      <c r="J23" s="52">
        <f>((J22*'① 자동화 가정'!C17*'① 자동화 가정'!C16*80+J22*(1-'① 자동화 가정'!C17)*'① 자동화 가정'!C16*0.375*20+J22*(1-'① 자동화 가정'!C17)*'① 자동화 가정'!C16*0.625*3)*'① 자동화 가정'!F6+(J22*'① 자동화 가정'!C17*'① 자동화 가정'!C16*80+J22*(1-'① 자동화 가정'!C17)*'① 자동화 가정'!C16*0.375*20+J22*(1-'① 자동화 가정'!C17)*'① 자동화 가정'!C16*0.625*3)*'① 자동화 가정'!C12*'① 자동화 가정'!F7+(J22*'① 자동화 가정'!C17*'① 자동화 가정'!C16*80+J22*(1-'① 자동화 가정'!C17)*'① 자동화 가정'!C16*0.375*20+J22*(1-'① 자동화 가정'!C17)*'① 자동화 가정'!C16*0.625*3)*'① 자동화 가정'!C13*'① 자동화 가정'!F8)</f>
        <v>2992.121653950001</v>
      </c>
      <c r="K23" s="52">
        <f>((K22*'① 자동화 가정'!C17*'① 자동화 가정'!C16*80+K22*(1-'① 자동화 가정'!C17)*'① 자동화 가정'!C16*0.375*20+K22*(1-'① 자동화 가정'!C17)*'① 자동화 가정'!C16*0.625*3)*'① 자동화 가정'!F6+(K22*'① 자동화 가정'!C17*'① 자동화 가정'!C16*80+K22*(1-'① 자동화 가정'!C17)*'① 자동화 가정'!C16*0.375*20+K22*(1-'① 자동화 가정'!C17)*'① 자동화 가정'!C16*0.625*3)*'① 자동화 가정'!C12*'① 자동화 가정'!F7+(K22*'① 자동화 가정'!C17*'① 자동화 가정'!C16*80+K22*(1-'① 자동화 가정'!C17)*'① 자동화 가정'!C16*0.375*20+K22*(1-'① 자동화 가정'!C17)*'① 자동화 가정'!C16*0.625*3)*'① 자동화 가정'!C13*'① 자동화 가정'!F8)</f>
        <v>3354.8030665500019</v>
      </c>
      <c r="L23" s="52">
        <f>((L22*'① 자동화 가정'!C17*'① 자동화 가정'!C16*80+L22*(1-'① 자동화 가정'!C17)*'① 자동화 가정'!C16*0.375*20+L22*(1-'① 자동화 가정'!C17)*'① 자동화 가정'!C16*0.625*3)*'① 자동화 가정'!F6+(L22*'① 자동화 가정'!C17*'① 자동화 가정'!C16*80+L22*(1-'① 자동화 가정'!C17)*'① 자동화 가정'!C16*0.375*20+L22*(1-'① 자동화 가정'!C17)*'① 자동화 가정'!C16*0.625*3)*'① 자동화 가정'!C12*'① 자동화 가정'!F7+(L22*'① 자동화 가정'!C17*'① 자동화 가정'!C16*80+L22*(1-'① 자동화 가정'!C17)*'① 자동화 가정'!C16*0.375*20+L22*(1-'① 자동화 가정'!C17)*'① 자동화 가정'!C16*0.625*3)*'① 자동화 가정'!C13*'① 자동화 가정'!F8)</f>
        <v>3717.4844791500018</v>
      </c>
      <c r="M23" s="52">
        <f>((M22*'① 자동화 가정'!C17*'① 자동화 가정'!C16*80+M22*(1-'① 자동화 가정'!C17)*'① 자동화 가정'!C16*0.375*20+M22*(1-'① 자동화 가정'!C17)*'① 자동화 가정'!C16*0.625*3)*'① 자동화 가정'!F6+(M22*'① 자동화 가정'!C17*'① 자동화 가정'!C16*80+M22*(1-'① 자동화 가정'!C17)*'① 자동화 가정'!C16*0.375*20+M22*(1-'① 자동화 가정'!C17)*'① 자동화 가정'!C16*0.625*3)*'① 자동화 가정'!C12*'① 자동화 가정'!F7+(M22*'① 자동화 가정'!C17*'① 자동화 가정'!C16*80+M22*(1-'① 자동화 가정'!C17)*'① 자동화 가정'!C16*0.375*20+M22*(1-'① 자동화 가정'!C17)*'① 자동화 가정'!C16*0.625*3)*'① 자동화 가정'!C13*'① 자동화 가정'!F8)</f>
        <v>4080.1658917500008</v>
      </c>
      <c r="N23" s="52">
        <f>((N22*'① 자동화 가정'!C17*'① 자동화 가정'!C16*80+N22*(1-'① 자동화 가정'!C17)*'① 자동화 가정'!C16*0.375*20+N22*(1-'① 자동화 가정'!C17)*'① 자동화 가정'!C16*0.625*3)*'① 자동화 가정'!F6+(N22*'① 자동화 가정'!C17*'① 자동화 가정'!C16*80+N22*(1-'① 자동화 가정'!C17)*'① 자동화 가정'!C16*0.375*20+N22*(1-'① 자동화 가정'!C17)*'① 자동화 가정'!C16*0.625*3)*'① 자동화 가정'!C12*'① 자동화 가정'!F7+(N22*'① 자동화 가정'!C17*'① 자동화 가정'!C16*80+N22*(1-'① 자동화 가정'!C17)*'① 자동화 가정'!C16*0.375*20+N22*(1-'① 자동화 가정'!C17)*'① 자동화 가정'!C16*0.625*3)*'① 자동화 가정'!C13*'① 자동화 가정'!F8)</f>
        <v>4442.8473043500007</v>
      </c>
      <c r="O23" s="44">
        <f>SUM(C23:N23)</f>
        <v>29377.194420600008</v>
      </c>
    </row>
    <row r="24" spans="2:15">
      <c r="B24" s="36" t="s">
        <v>106</v>
      </c>
      <c r="C24" s="45">
        <f>C23*'① 자동화 가정'!C18</f>
        <v>634692.47204999998</v>
      </c>
      <c r="D24" s="45">
        <f>D23*'① 자동화 가정'!C18</f>
        <v>1142446.4496900004</v>
      </c>
      <c r="E24" s="45">
        <f>E23*'① 자동화 가정'!C18</f>
        <v>1650200.4273300006</v>
      </c>
      <c r="F24" s="45">
        <f>F23*'① 자동화 가정'!C18</f>
        <v>2157954.404970001</v>
      </c>
      <c r="G24" s="45">
        <f>G23*'① 자동화 가정'!C18</f>
        <v>2665708.3826100011</v>
      </c>
      <c r="H24" s="45">
        <f>H23*'① 자동화 가정'!C18</f>
        <v>3173462.3602500004</v>
      </c>
      <c r="I24" s="45">
        <f>I23*'① 자동화 가정'!C18</f>
        <v>3681216.337890001</v>
      </c>
      <c r="J24" s="45">
        <f>J23*'① 자동화 가정'!C18</f>
        <v>4188970.3155300017</v>
      </c>
      <c r="K24" s="45">
        <f>K23*'① 자동화 가정'!C18</f>
        <v>4696724.2931700023</v>
      </c>
      <c r="L24" s="45">
        <f>L23*'① 자동화 가정'!C18</f>
        <v>5204478.2708100025</v>
      </c>
      <c r="M24" s="45">
        <f>M23*'① 자동화 가정'!C18</f>
        <v>5712232.2484500008</v>
      </c>
      <c r="N24" s="45">
        <f>N23*'① 자동화 가정'!C18</f>
        <v>6219986.2260900009</v>
      </c>
      <c r="O24" s="46">
        <f>N23*'① 자동화 가정'!C18</f>
        <v>6219986.2260900009</v>
      </c>
    </row>
    <row r="25" spans="2:15" ht="6" customHeight="1"/>
    <row r="26" spans="2:15">
      <c r="B26" s="33" t="s">
        <v>107</v>
      </c>
      <c r="C26" s="53">
        <f>ROUND('① 자동화 가정'!E29+'① 자동화 가정'!F29,0)</f>
        <v>4</v>
      </c>
      <c r="D26" s="53">
        <f>ROUND(C26*(1+'① 자동화 가정'!C14/12-'① 자동화 가정'!C15/12)+'① 자동화 가정'!F29,0)</f>
        <v>7</v>
      </c>
      <c r="E26" s="53">
        <f>ROUND(D26*(1+'① 자동화 가정'!C14/12-'① 자동화 가정'!C15/12)+'① 자동화 가정'!F29,0)</f>
        <v>10</v>
      </c>
      <c r="F26" s="53">
        <f>ROUND(E26*(1+'① 자동화 가정'!C14/12-'① 자동화 가정'!C15/12)+'① 자동화 가정'!F29,0)</f>
        <v>13</v>
      </c>
      <c r="G26" s="53">
        <f>ROUND(F26*(1+'① 자동화 가정'!C14/12-'① 자동화 가정'!C15/12)+'① 자동화 가정'!F29,0)</f>
        <v>16</v>
      </c>
      <c r="H26" s="53">
        <f>ROUND(G26*(1+'① 자동화 가정'!C14/12-'① 자동화 가정'!C15/12)+'① 자동화 가정'!F29,0)</f>
        <v>19</v>
      </c>
      <c r="I26" s="53">
        <f>ROUND(H26*(1+'① 자동화 가정'!C14/12-'① 자동화 가정'!C15/12)+'① 자동화 가정'!F29,0)</f>
        <v>22</v>
      </c>
      <c r="J26" s="53">
        <f>ROUND(I26*(1+'① 자동화 가정'!C14/12-'① 자동화 가정'!C15/12)+'① 자동화 가정'!F29,0)</f>
        <v>25</v>
      </c>
      <c r="K26" s="53">
        <f>ROUND(J26*(1+'① 자동화 가정'!C14/12-'① 자동화 가정'!C15/12)+'① 자동화 가정'!F29,0)</f>
        <v>28</v>
      </c>
      <c r="L26" s="53">
        <f>ROUND(K26*(1+'① 자동화 가정'!C14/12-'① 자동화 가정'!C15/12)+'① 자동화 가정'!F29,0)</f>
        <v>31</v>
      </c>
      <c r="M26" s="53">
        <f>ROUND(L26*(1+'① 자동화 가정'!C14/12-'① 자동화 가정'!C15/12)+'① 자동화 가정'!F29,0)</f>
        <v>34</v>
      </c>
      <c r="N26" s="53">
        <f>ROUND(M26*(1+'① 자동화 가정'!C14/12-'① 자동화 가정'!C15/12)+'① 자동화 가정'!F29,0)</f>
        <v>37</v>
      </c>
      <c r="O26" s="38">
        <f>N26</f>
        <v>37</v>
      </c>
    </row>
    <row r="27" spans="2:15">
      <c r="B27" s="33" t="s">
        <v>108</v>
      </c>
      <c r="C27" s="54">
        <f>((C26*'① 자동화 가정'!C17*'① 자동화 가정'!C16*80+C26*(1-'① 자동화 가정'!C17)*'① 자동화 가정'!C16*0.375*20+C26*(1-'① 자동화 가정'!C17)*'① 자동화 가정'!C16*0.625*3)*'① 자동화 가정'!F6+(C26*'① 자동화 가정'!C17*'① 자동화 가정'!C16*80+C26*(1-'① 자동화 가정'!C17)*'① 자동화 가정'!C16*0.375*20+C26*(1-'① 자동화 가정'!C17)*'① 자동화 가정'!C16*0.625*3)*'① 자동화 가정'!C12*'① 자동화 가정'!F7+(C26*'① 자동화 가정'!C17*'① 자동화 가정'!C16*80+C26*(1-'① 자동화 가정'!C17)*'① 자동화 가정'!C16*0.375*20+C26*(1-'① 자동화 가정'!C17)*'① 자동화 가정'!C16*0.625*3)*'① 자동화 가정'!C13*'① 자동화 가정'!F8)</f>
        <v>362.68141260000004</v>
      </c>
      <c r="D27" s="54">
        <f>((D26*'① 자동화 가정'!C17*'① 자동화 가정'!C16*80+D26*(1-'① 자동화 가정'!C17)*'① 자동화 가정'!C16*0.375*20+D26*(1-'① 자동화 가정'!C17)*'① 자동화 가정'!C16*0.625*3)*'① 자동화 가정'!F6+(D26*'① 자동화 가정'!C17*'① 자동화 가정'!C16*80+D26*(1-'① 자동화 가정'!C17)*'① 자동화 가정'!C16*0.375*20+D26*(1-'① 자동화 가정'!C17)*'① 자동화 가정'!C16*0.625*3)*'① 자동화 가정'!C12*'① 자동화 가정'!F7+(D26*'① 자동화 가정'!C17*'① 자동화 가정'!C16*80+D26*(1-'① 자동화 가정'!C17)*'① 자동화 가정'!C16*0.375*20+D26*(1-'① 자동화 가정'!C17)*'① 자동화 가정'!C16*0.625*3)*'① 자동화 가정'!C13*'① 자동화 가정'!F8)</f>
        <v>634.69247205000022</v>
      </c>
      <c r="E27" s="54">
        <f>((E26*'① 자동화 가정'!C17*'① 자동화 가정'!C16*80+E26*(1-'① 자동화 가정'!C17)*'① 자동화 가정'!C16*0.375*20+E26*(1-'① 자동화 가정'!C17)*'① 자동화 가정'!C16*0.625*3)*'① 자동화 가정'!F6+(E26*'① 자동화 가정'!C17*'① 자동화 가정'!C16*80+E26*(1-'① 자동화 가정'!C17)*'① 자동화 가정'!C16*0.375*20+E26*(1-'① 자동화 가정'!C17)*'① 자동화 가정'!C16*0.625*3)*'① 자동화 가정'!C12*'① 자동화 가정'!F7+(E26*'① 자동화 가정'!C17*'① 자동화 가정'!C16*80+E26*(1-'① 자동화 가정'!C17)*'① 자동화 가정'!C16*0.375*20+E26*(1-'① 자동화 가정'!C17)*'① 자동화 가정'!C16*0.625*3)*'① 자동화 가정'!C13*'① 자동화 가정'!F8)</f>
        <v>906.70353150000005</v>
      </c>
      <c r="F27" s="54">
        <f>((F26*'① 자동화 가정'!C17*'① 자동화 가정'!C16*80+F26*(1-'① 자동화 가정'!C17)*'① 자동화 가정'!C16*0.375*20+F26*(1-'① 자동화 가정'!C17)*'① 자동화 가정'!C16*0.625*3)*'① 자동화 가정'!F6+(F26*'① 자동화 가정'!C17*'① 자동화 가정'!C16*80+F26*(1-'① 자동화 가정'!C17)*'① 자동화 가정'!C16*0.375*20+F26*(1-'① 자동화 가정'!C17)*'① 자동화 가정'!C16*0.625*3)*'① 자동화 가정'!C12*'① 자동화 가정'!F7+(F26*'① 자동화 가정'!C17*'① 자동화 가정'!C16*80+F26*(1-'① 자동화 가정'!C17)*'① 자동화 가정'!C16*0.375*20+F26*(1-'① 자동화 가정'!C17)*'① 자동화 가정'!C16*0.625*3)*'① 자동화 가정'!C13*'① 자동화 가정'!F8)</f>
        <v>1178.7145909500005</v>
      </c>
      <c r="G27" s="54">
        <f>((G26*'① 자동화 가정'!C17*'① 자동화 가정'!C16*80+G26*(1-'① 자동화 가정'!C17)*'① 자동화 가정'!C16*0.375*20+G26*(1-'① 자동화 가정'!C17)*'① 자동화 가정'!C16*0.625*3)*'① 자동화 가정'!F6+(G26*'① 자동화 가정'!C17*'① 자동화 가정'!C16*80+G26*(1-'① 자동화 가정'!C17)*'① 자동화 가정'!C16*0.375*20+G26*(1-'① 자동화 가정'!C17)*'① 자동화 가정'!C16*0.625*3)*'① 자동화 가정'!C12*'① 자동화 가정'!F7+(G26*'① 자동화 가정'!C17*'① 자동화 가정'!C16*80+G26*(1-'① 자동화 가정'!C17)*'① 자동화 가정'!C16*0.375*20+G26*(1-'① 자동화 가정'!C17)*'① 자동화 가정'!C16*0.625*3)*'① 자동화 가정'!C13*'① 자동화 가정'!F8)</f>
        <v>1450.7256504000002</v>
      </c>
      <c r="H27" s="54">
        <f>((H26*'① 자동화 가정'!C17*'① 자동화 가정'!C16*80+H26*(1-'① 자동화 가정'!C17)*'① 자동화 가정'!C16*0.375*20+H26*(1-'① 자동화 가정'!C17)*'① 자동화 가정'!C16*0.625*3)*'① 자동화 가정'!F6+(H26*'① 자동화 가정'!C17*'① 자동화 가정'!C16*80+H26*(1-'① 자동화 가정'!C17)*'① 자동화 가정'!C16*0.375*20+H26*(1-'① 자동화 가정'!C17)*'① 자동화 가정'!C16*0.625*3)*'① 자동화 가정'!C12*'① 자동화 가정'!F7+(H26*'① 자동화 가정'!C17*'① 자동화 가정'!C16*80+H26*(1-'① 자동화 가정'!C17)*'① 자동화 가정'!C16*0.375*20+H26*(1-'① 자동화 가정'!C17)*'① 자동화 가정'!C16*0.625*3)*'① 자동화 가정'!C13*'① 자동화 가정'!F8)</f>
        <v>1722.7367098500004</v>
      </c>
      <c r="I27" s="54">
        <f>((I26*'① 자동화 가정'!C17*'① 자동화 가정'!C16*80+I26*(1-'① 자동화 가정'!C17)*'① 자동화 가정'!C16*0.375*20+I26*(1-'① 자동화 가정'!C17)*'① 자동화 가정'!C16*0.625*3)*'① 자동화 가정'!F6+(I26*'① 자동화 가정'!C17*'① 자동화 가정'!C16*80+I26*(1-'① 자동화 가정'!C17)*'① 자동화 가정'!C16*0.375*20+I26*(1-'① 자동화 가정'!C17)*'① 자동화 가정'!C16*0.625*3)*'① 자동화 가정'!C12*'① 자동화 가정'!F7+(I26*'① 자동화 가정'!C17*'① 자동화 가정'!C16*80+I26*(1-'① 자동화 가정'!C17)*'① 자동화 가정'!C16*0.375*20+I26*(1-'① 자동화 가정'!C17)*'① 자동화 가정'!C16*0.625*3)*'① 자동화 가정'!C13*'① 자동화 가정'!F8)</f>
        <v>1994.7477693000003</v>
      </c>
      <c r="J27" s="54">
        <f>((J26*'① 자동화 가정'!C17*'① 자동화 가정'!C16*80+J26*(1-'① 자동화 가정'!C17)*'① 자동화 가정'!C16*0.375*20+J26*(1-'① 자동화 가정'!C17)*'① 자동화 가정'!C16*0.625*3)*'① 자동화 가정'!F6+(J26*'① 자동화 가정'!C17*'① 자동화 가정'!C16*80+J26*(1-'① 자동화 가정'!C17)*'① 자동화 가정'!C16*0.375*20+J26*(1-'① 자동화 가정'!C17)*'① 자동화 가정'!C16*0.625*3)*'① 자동화 가정'!C12*'① 자동화 가정'!F7+(J26*'① 자동화 가정'!C17*'① 자동화 가정'!C16*80+J26*(1-'① 자동화 가정'!C17)*'① 자동화 가정'!C16*0.375*20+J26*(1-'① 자동화 가정'!C17)*'① 자동화 가정'!C16*0.625*3)*'① 자동화 가정'!C13*'① 자동화 가정'!F8)</f>
        <v>2266.7588287500002</v>
      </c>
      <c r="K27" s="54">
        <f>((K26*'① 자동화 가정'!C17*'① 자동화 가정'!C16*80+K26*(1-'① 자동화 가정'!C17)*'① 자동화 가정'!C16*0.375*20+K26*(1-'① 자동화 가정'!C17)*'① 자동화 가정'!C16*0.625*3)*'① 자동화 가정'!F6+(K26*'① 자동화 가정'!C17*'① 자동화 가정'!C16*80+K26*(1-'① 자동화 가정'!C17)*'① 자동화 가정'!C16*0.375*20+K26*(1-'① 자동화 가정'!C17)*'① 자동화 가정'!C16*0.625*3)*'① 자동화 가정'!C12*'① 자동화 가정'!F7+(K26*'① 자동화 가정'!C17*'① 자동화 가정'!C16*80+K26*(1-'① 자동화 가정'!C17)*'① 자동화 가정'!C16*0.375*20+K26*(1-'① 자동화 가정'!C17)*'① 자동화 가정'!C16*0.625*3)*'① 자동화 가정'!C13*'① 자동화 가정'!F8)</f>
        <v>2538.7698882000009</v>
      </c>
      <c r="L27" s="54">
        <f>((L26*'① 자동화 가정'!C17*'① 자동화 가정'!C16*80+L26*(1-'① 자동화 가정'!C17)*'① 자동화 가정'!C16*0.375*20+L26*(1-'① 자동화 가정'!C17)*'① 자동화 가정'!C16*0.625*3)*'① 자동화 가정'!F6+(L26*'① 자동화 가정'!C17*'① 자동화 가정'!C16*80+L26*(1-'① 자동화 가정'!C17)*'① 자동화 가정'!C16*0.375*20+L26*(1-'① 자동화 가정'!C17)*'① 자동화 가정'!C16*0.625*3)*'① 자동화 가정'!C12*'① 자동화 가정'!F7+(L26*'① 자동화 가정'!C17*'① 자동화 가정'!C16*80+L26*(1-'① 자동화 가정'!C17)*'① 자동화 가정'!C16*0.375*20+L26*(1-'① 자동화 가정'!C17)*'① 자동화 가정'!C16*0.625*3)*'① 자동화 가정'!C13*'① 자동화 가정'!F8)</f>
        <v>2810.7809476500011</v>
      </c>
      <c r="M27" s="54">
        <f>((M26*'① 자동화 가정'!C17*'① 자동화 가정'!C16*80+M26*(1-'① 자동화 가정'!C17)*'① 자동화 가정'!C16*0.375*20+M26*(1-'① 자동화 가정'!C17)*'① 자동화 가정'!C16*0.625*3)*'① 자동화 가정'!F6+(M26*'① 자동화 가정'!C17*'① 자동화 가정'!C16*80+M26*(1-'① 자동화 가정'!C17)*'① 자동화 가정'!C16*0.375*20+M26*(1-'① 자동화 가정'!C17)*'① 자동화 가정'!C16*0.625*3)*'① 자동화 가정'!C12*'① 자동화 가정'!F7+(M26*'① 자동화 가정'!C17*'① 자동화 가정'!C16*80+M26*(1-'① 자동화 가정'!C17)*'① 자동화 가정'!C16*0.375*20+M26*(1-'① 자동화 가정'!C17)*'① 자동화 가정'!C16*0.625*3)*'① 자동화 가정'!C13*'① 자동화 가정'!F8)</f>
        <v>3082.7920071000012</v>
      </c>
      <c r="N27" s="54">
        <f>((N26*'① 자동화 가정'!C17*'① 자동화 가정'!C16*80+N26*(1-'① 자동화 가정'!C17)*'① 자동화 가정'!C16*0.375*20+N26*(1-'① 자동화 가정'!C17)*'① 자동화 가정'!C16*0.625*3)*'① 자동화 가정'!F6+(N26*'① 자동화 가정'!C17*'① 자동화 가정'!C16*80+N26*(1-'① 자동화 가정'!C17)*'① 자동화 가정'!C16*0.375*20+N26*(1-'① 자동화 가정'!C17)*'① 자동화 가정'!C16*0.625*3)*'① 자동화 가정'!C12*'① 자동화 가정'!F7+(N26*'① 자동화 가정'!C17*'① 자동화 가정'!C16*80+N26*(1-'① 자동화 가정'!C17)*'① 자동화 가정'!C16*0.375*20+N26*(1-'① 자동화 가정'!C17)*'① 자동화 가정'!C16*0.625*3)*'① 자동화 가정'!C13*'① 자동화 가정'!F8)</f>
        <v>3354.8030665500019</v>
      </c>
      <c r="O27" s="44">
        <f>SUM(C27:N27)</f>
        <v>22304.906874900003</v>
      </c>
    </row>
    <row r="28" spans="2:15">
      <c r="B28" s="36" t="s">
        <v>109</v>
      </c>
      <c r="C28" s="45">
        <f>C27*'① 자동화 가정'!C18</f>
        <v>507753.97764000006</v>
      </c>
      <c r="D28" s="45">
        <f>D27*'① 자동화 가정'!C18</f>
        <v>888569.4608700003</v>
      </c>
      <c r="E28" s="45">
        <f>E27*'① 자동화 가정'!C18</f>
        <v>1269384.9441</v>
      </c>
      <c r="F28" s="45">
        <f>F27*'① 자동화 가정'!C18</f>
        <v>1650200.4273300006</v>
      </c>
      <c r="G28" s="45">
        <f>G27*'① 자동화 가정'!C18</f>
        <v>2031015.9105600002</v>
      </c>
      <c r="H28" s="45">
        <f>H27*'① 자동화 가정'!C18</f>
        <v>2411831.3937900006</v>
      </c>
      <c r="I28" s="45">
        <f>I27*'① 자동화 가정'!C18</f>
        <v>2792646.8770200005</v>
      </c>
      <c r="J28" s="45">
        <f>J27*'① 자동화 가정'!C18</f>
        <v>3173462.3602500004</v>
      </c>
      <c r="K28" s="45">
        <f>K27*'① 자동화 가정'!C18</f>
        <v>3554277.8434800012</v>
      </c>
      <c r="L28" s="45">
        <f>L27*'① 자동화 가정'!C18</f>
        <v>3935093.3267100016</v>
      </c>
      <c r="M28" s="45">
        <f>M27*'① 자동화 가정'!C18</f>
        <v>4315908.8099400019</v>
      </c>
      <c r="N28" s="45">
        <f>N27*'① 자동화 가정'!C18</f>
        <v>4696724.2931700023</v>
      </c>
      <c r="O28" s="46">
        <f>N27*'① 자동화 가정'!C18</f>
        <v>4696724.2931700023</v>
      </c>
    </row>
    <row r="29" spans="2:15" ht="6" customHeight="1"/>
    <row r="30" spans="2:15">
      <c r="B30" s="18" t="s">
        <v>110</v>
      </c>
      <c r="C30" s="42">
        <f>ROUND('① 자동화 가정'!E30+'① 자동화 가정'!F30,0)</f>
        <v>4</v>
      </c>
      <c r="D30" s="42">
        <f>ROUND(C30*(1+'① 자동화 가정'!C14/12-'① 자동화 가정'!C15/12)+'① 자동화 가정'!F30,0)</f>
        <v>7</v>
      </c>
      <c r="E30" s="42">
        <f>ROUND(D30*(1+'① 자동화 가정'!C14/12-'① 자동화 가정'!C15/12)+'① 자동화 가정'!F30,0)</f>
        <v>10</v>
      </c>
      <c r="F30" s="42">
        <f>ROUND(E30*(1+'① 자동화 가정'!C14/12-'① 자동화 가정'!C15/12)+'① 자동화 가정'!F30,0)</f>
        <v>13</v>
      </c>
      <c r="G30" s="42">
        <f>ROUND(F30*(1+'① 자동화 가정'!C14/12-'① 자동화 가정'!C15/12)+'① 자동화 가정'!F30,0)</f>
        <v>16</v>
      </c>
      <c r="H30" s="42">
        <f>ROUND(G30*(1+'① 자동화 가정'!C14/12-'① 자동화 가정'!C15/12)+'① 자동화 가정'!F30,0)</f>
        <v>19</v>
      </c>
      <c r="I30" s="42">
        <f>ROUND(H30*(1+'① 자동화 가정'!C14/12-'① 자동화 가정'!C15/12)+'① 자동화 가정'!F30,0)</f>
        <v>22</v>
      </c>
      <c r="J30" s="42">
        <f>ROUND(I30*(1+'① 자동화 가정'!C14/12-'① 자동화 가정'!C15/12)+'① 자동화 가정'!F30,0)</f>
        <v>25</v>
      </c>
      <c r="K30" s="42">
        <f>ROUND(J30*(1+'① 자동화 가정'!C14/12-'① 자동화 가정'!C15/12)+'① 자동화 가정'!F30,0)</f>
        <v>28</v>
      </c>
      <c r="L30" s="42">
        <f>ROUND(K30*(1+'① 자동화 가정'!C14/12-'① 자동화 가정'!C15/12)+'① 자동화 가정'!F30,0)</f>
        <v>31</v>
      </c>
      <c r="M30" s="42">
        <f>ROUND(L30*(1+'① 자동화 가정'!C14/12-'① 자동화 가정'!C15/12)+'① 자동화 가정'!F30,0)</f>
        <v>34</v>
      </c>
      <c r="N30" s="42">
        <f>ROUND(M30*(1+'① 자동화 가정'!C14/12-'① 자동화 가정'!C15/12)+'① 자동화 가정'!F30,0)</f>
        <v>37</v>
      </c>
      <c r="O30" s="38">
        <f>N30</f>
        <v>37</v>
      </c>
    </row>
    <row r="31" spans="2:15">
      <c r="B31" s="18" t="s">
        <v>111</v>
      </c>
      <c r="C31" s="43">
        <f>((C30*'① 자동화 가정'!C17*'① 자동화 가정'!C16*80+C30*(1-'① 자동화 가정'!C17)*'① 자동화 가정'!C16*0.375*20+C30*(1-'① 자동화 가정'!C17)*'① 자동화 가정'!C16*0.625*3)*'① 자동화 가정'!F6+(C30*'① 자동화 가정'!C17*'① 자동화 가정'!C16*80+C30*(1-'① 자동화 가정'!C17)*'① 자동화 가정'!C16*0.375*20+C30*(1-'① 자동화 가정'!C17)*'① 자동화 가정'!C16*0.625*3)*'① 자동화 가정'!C12*'① 자동화 가정'!F7+(C30*'① 자동화 가정'!C17*'① 자동화 가정'!C16*80+C30*(1-'① 자동화 가정'!C17)*'① 자동화 가정'!C16*0.375*20+C30*(1-'① 자동화 가정'!C17)*'① 자동화 가정'!C16*0.625*3)*'① 자동화 가정'!C13*'① 자동화 가정'!F8)</f>
        <v>362.68141260000004</v>
      </c>
      <c r="D31" s="43">
        <f>((D30*'① 자동화 가정'!C17*'① 자동화 가정'!C16*80+D30*(1-'① 자동화 가정'!C17)*'① 자동화 가정'!C16*0.375*20+D30*(1-'① 자동화 가정'!C17)*'① 자동화 가정'!C16*0.625*3)*'① 자동화 가정'!F6+(D30*'① 자동화 가정'!C17*'① 자동화 가정'!C16*80+D30*(1-'① 자동화 가정'!C17)*'① 자동화 가정'!C16*0.375*20+D30*(1-'① 자동화 가정'!C17)*'① 자동화 가정'!C16*0.625*3)*'① 자동화 가정'!C12*'① 자동화 가정'!F7+(D30*'① 자동화 가정'!C17*'① 자동화 가정'!C16*80+D30*(1-'① 자동화 가정'!C17)*'① 자동화 가정'!C16*0.375*20+D30*(1-'① 자동화 가정'!C17)*'① 자동화 가정'!C16*0.625*3)*'① 자동화 가정'!C13*'① 자동화 가정'!F8)</f>
        <v>634.69247205000022</v>
      </c>
      <c r="E31" s="43">
        <f>((E30*'① 자동화 가정'!C17*'① 자동화 가정'!C16*80+E30*(1-'① 자동화 가정'!C17)*'① 자동화 가정'!C16*0.375*20+E30*(1-'① 자동화 가정'!C17)*'① 자동화 가정'!C16*0.625*3)*'① 자동화 가정'!F6+(E30*'① 자동화 가정'!C17*'① 자동화 가정'!C16*80+E30*(1-'① 자동화 가정'!C17)*'① 자동화 가정'!C16*0.375*20+E30*(1-'① 자동화 가정'!C17)*'① 자동화 가정'!C16*0.625*3)*'① 자동화 가정'!C12*'① 자동화 가정'!F7+(E30*'① 자동화 가정'!C17*'① 자동화 가정'!C16*80+E30*(1-'① 자동화 가정'!C17)*'① 자동화 가정'!C16*0.375*20+E30*(1-'① 자동화 가정'!C17)*'① 자동화 가정'!C16*0.625*3)*'① 자동화 가정'!C13*'① 자동화 가정'!F8)</f>
        <v>906.70353150000005</v>
      </c>
      <c r="F31" s="43">
        <f>((F30*'① 자동화 가정'!C17*'① 자동화 가정'!C16*80+F30*(1-'① 자동화 가정'!C17)*'① 자동화 가정'!C16*0.375*20+F30*(1-'① 자동화 가정'!C17)*'① 자동화 가정'!C16*0.625*3)*'① 자동화 가정'!F6+(F30*'① 자동화 가정'!C17*'① 자동화 가정'!C16*80+F30*(1-'① 자동화 가정'!C17)*'① 자동화 가정'!C16*0.375*20+F30*(1-'① 자동화 가정'!C17)*'① 자동화 가정'!C16*0.625*3)*'① 자동화 가정'!C12*'① 자동화 가정'!F7+(F30*'① 자동화 가정'!C17*'① 자동화 가정'!C16*80+F30*(1-'① 자동화 가정'!C17)*'① 자동화 가정'!C16*0.375*20+F30*(1-'① 자동화 가정'!C17)*'① 자동화 가정'!C16*0.625*3)*'① 자동화 가정'!C13*'① 자동화 가정'!F8)</f>
        <v>1178.7145909500005</v>
      </c>
      <c r="G31" s="43">
        <f>((G30*'① 자동화 가정'!C17*'① 자동화 가정'!C16*80+G30*(1-'① 자동화 가정'!C17)*'① 자동화 가정'!C16*0.375*20+G30*(1-'① 자동화 가정'!C17)*'① 자동화 가정'!C16*0.625*3)*'① 자동화 가정'!F6+(G30*'① 자동화 가정'!C17*'① 자동화 가정'!C16*80+G30*(1-'① 자동화 가정'!C17)*'① 자동화 가정'!C16*0.375*20+G30*(1-'① 자동화 가정'!C17)*'① 자동화 가정'!C16*0.625*3)*'① 자동화 가정'!C12*'① 자동화 가정'!F7+(G30*'① 자동화 가정'!C17*'① 자동화 가정'!C16*80+G30*(1-'① 자동화 가정'!C17)*'① 자동화 가정'!C16*0.375*20+G30*(1-'① 자동화 가정'!C17)*'① 자동화 가정'!C16*0.625*3)*'① 자동화 가정'!C13*'① 자동화 가정'!F8)</f>
        <v>1450.7256504000002</v>
      </c>
      <c r="H31" s="43">
        <f>((H30*'① 자동화 가정'!C17*'① 자동화 가정'!C16*80+H30*(1-'① 자동화 가정'!C17)*'① 자동화 가정'!C16*0.375*20+H30*(1-'① 자동화 가정'!C17)*'① 자동화 가정'!C16*0.625*3)*'① 자동화 가정'!F6+(H30*'① 자동화 가정'!C17*'① 자동화 가정'!C16*80+H30*(1-'① 자동화 가정'!C17)*'① 자동화 가정'!C16*0.375*20+H30*(1-'① 자동화 가정'!C17)*'① 자동화 가정'!C16*0.625*3)*'① 자동화 가정'!C12*'① 자동화 가정'!F7+(H30*'① 자동화 가정'!C17*'① 자동화 가정'!C16*80+H30*(1-'① 자동화 가정'!C17)*'① 자동화 가정'!C16*0.375*20+H30*(1-'① 자동화 가정'!C17)*'① 자동화 가정'!C16*0.625*3)*'① 자동화 가정'!C13*'① 자동화 가정'!F8)</f>
        <v>1722.7367098500004</v>
      </c>
      <c r="I31" s="43">
        <f>((I30*'① 자동화 가정'!C17*'① 자동화 가정'!C16*80+I30*(1-'① 자동화 가정'!C17)*'① 자동화 가정'!C16*0.375*20+I30*(1-'① 자동화 가정'!C17)*'① 자동화 가정'!C16*0.625*3)*'① 자동화 가정'!F6+(I30*'① 자동화 가정'!C17*'① 자동화 가정'!C16*80+I30*(1-'① 자동화 가정'!C17)*'① 자동화 가정'!C16*0.375*20+I30*(1-'① 자동화 가정'!C17)*'① 자동화 가정'!C16*0.625*3)*'① 자동화 가정'!C12*'① 자동화 가정'!F7+(I30*'① 자동화 가정'!C17*'① 자동화 가정'!C16*80+I30*(1-'① 자동화 가정'!C17)*'① 자동화 가정'!C16*0.375*20+I30*(1-'① 자동화 가정'!C17)*'① 자동화 가정'!C16*0.625*3)*'① 자동화 가정'!C13*'① 자동화 가정'!F8)</f>
        <v>1994.7477693000003</v>
      </c>
      <c r="J31" s="43">
        <f>((J30*'① 자동화 가정'!C17*'① 자동화 가정'!C16*80+J30*(1-'① 자동화 가정'!C17)*'① 자동화 가정'!C16*0.375*20+J30*(1-'① 자동화 가정'!C17)*'① 자동화 가정'!C16*0.625*3)*'① 자동화 가정'!F6+(J30*'① 자동화 가정'!C17*'① 자동화 가정'!C16*80+J30*(1-'① 자동화 가정'!C17)*'① 자동화 가정'!C16*0.375*20+J30*(1-'① 자동화 가정'!C17)*'① 자동화 가정'!C16*0.625*3)*'① 자동화 가정'!C12*'① 자동화 가정'!F7+(J30*'① 자동화 가정'!C17*'① 자동화 가정'!C16*80+J30*(1-'① 자동화 가정'!C17)*'① 자동화 가정'!C16*0.375*20+J30*(1-'① 자동화 가정'!C17)*'① 자동화 가정'!C16*0.625*3)*'① 자동화 가정'!C13*'① 자동화 가정'!F8)</f>
        <v>2266.7588287500002</v>
      </c>
      <c r="K31" s="43">
        <f>((K30*'① 자동화 가정'!C17*'① 자동화 가정'!C16*80+K30*(1-'① 자동화 가정'!C17)*'① 자동화 가정'!C16*0.375*20+K30*(1-'① 자동화 가정'!C17)*'① 자동화 가정'!C16*0.625*3)*'① 자동화 가정'!F6+(K30*'① 자동화 가정'!C17*'① 자동화 가정'!C16*80+K30*(1-'① 자동화 가정'!C17)*'① 자동화 가정'!C16*0.375*20+K30*(1-'① 자동화 가정'!C17)*'① 자동화 가정'!C16*0.625*3)*'① 자동화 가정'!C12*'① 자동화 가정'!F7+(K30*'① 자동화 가정'!C17*'① 자동화 가정'!C16*80+K30*(1-'① 자동화 가정'!C17)*'① 자동화 가정'!C16*0.375*20+K30*(1-'① 자동화 가정'!C17)*'① 자동화 가정'!C16*0.625*3)*'① 자동화 가정'!C13*'① 자동화 가정'!F8)</f>
        <v>2538.7698882000009</v>
      </c>
      <c r="L31" s="43">
        <f>((L30*'① 자동화 가정'!C17*'① 자동화 가정'!C16*80+L30*(1-'① 자동화 가정'!C17)*'① 자동화 가정'!C16*0.375*20+L30*(1-'① 자동화 가정'!C17)*'① 자동화 가정'!C16*0.625*3)*'① 자동화 가정'!F6+(L30*'① 자동화 가정'!C17*'① 자동화 가정'!C16*80+L30*(1-'① 자동화 가정'!C17)*'① 자동화 가정'!C16*0.375*20+L30*(1-'① 자동화 가정'!C17)*'① 자동화 가정'!C16*0.625*3)*'① 자동화 가정'!C12*'① 자동화 가정'!F7+(L30*'① 자동화 가정'!C17*'① 자동화 가정'!C16*80+L30*(1-'① 자동화 가정'!C17)*'① 자동화 가정'!C16*0.375*20+L30*(1-'① 자동화 가정'!C17)*'① 자동화 가정'!C16*0.625*3)*'① 자동화 가정'!C13*'① 자동화 가정'!F8)</f>
        <v>2810.7809476500011</v>
      </c>
      <c r="M31" s="43">
        <f>((M30*'① 자동화 가정'!C17*'① 자동화 가정'!C16*80+M30*(1-'① 자동화 가정'!C17)*'① 자동화 가정'!C16*0.375*20+M30*(1-'① 자동화 가정'!C17)*'① 자동화 가정'!C16*0.625*3)*'① 자동화 가정'!F6+(M30*'① 자동화 가정'!C17*'① 자동화 가정'!C16*80+M30*(1-'① 자동화 가정'!C17)*'① 자동화 가정'!C16*0.375*20+M30*(1-'① 자동화 가정'!C17)*'① 자동화 가정'!C16*0.625*3)*'① 자동화 가정'!C12*'① 자동화 가정'!F7+(M30*'① 자동화 가정'!C17*'① 자동화 가정'!C16*80+M30*(1-'① 자동화 가정'!C17)*'① 자동화 가정'!C16*0.375*20+M30*(1-'① 자동화 가정'!C17)*'① 자동화 가정'!C16*0.625*3)*'① 자동화 가정'!C13*'① 자동화 가정'!F8)</f>
        <v>3082.7920071000012</v>
      </c>
      <c r="N31" s="43">
        <f>((N30*'① 자동화 가정'!C17*'① 자동화 가정'!C16*80+N30*(1-'① 자동화 가정'!C17)*'① 자동화 가정'!C16*0.375*20+N30*(1-'① 자동화 가정'!C17)*'① 자동화 가정'!C16*0.625*3)*'① 자동화 가정'!F6+(N30*'① 자동화 가정'!C17*'① 자동화 가정'!C16*80+N30*(1-'① 자동화 가정'!C17)*'① 자동화 가정'!C16*0.375*20+N30*(1-'① 자동화 가정'!C17)*'① 자동화 가정'!C16*0.625*3)*'① 자동화 가정'!C12*'① 자동화 가정'!F7+(N30*'① 자동화 가정'!C17*'① 자동화 가정'!C16*80+N30*(1-'① 자동화 가정'!C17)*'① 자동화 가정'!C16*0.375*20+N30*(1-'① 자동화 가정'!C17)*'① 자동화 가정'!C16*0.625*3)*'① 자동화 가정'!C13*'① 자동화 가정'!F8)</f>
        <v>3354.8030665500019</v>
      </c>
      <c r="O31" s="44">
        <f>SUM(C31:N31)</f>
        <v>22304.906874900003</v>
      </c>
    </row>
    <row r="32" spans="2:15">
      <c r="B32" s="36" t="s">
        <v>112</v>
      </c>
      <c r="C32" s="45">
        <f>C31*'① 자동화 가정'!C18</f>
        <v>507753.97764000006</v>
      </c>
      <c r="D32" s="45">
        <f>D31*'① 자동화 가정'!C18</f>
        <v>888569.4608700003</v>
      </c>
      <c r="E32" s="45">
        <f>E31*'① 자동화 가정'!C18</f>
        <v>1269384.9441</v>
      </c>
      <c r="F32" s="45">
        <f>F31*'① 자동화 가정'!C18</f>
        <v>1650200.4273300006</v>
      </c>
      <c r="G32" s="45">
        <f>G31*'① 자동화 가정'!C18</f>
        <v>2031015.9105600002</v>
      </c>
      <c r="H32" s="45">
        <f>H31*'① 자동화 가정'!C18</f>
        <v>2411831.3937900006</v>
      </c>
      <c r="I32" s="45">
        <f>I31*'① 자동화 가정'!C18</f>
        <v>2792646.8770200005</v>
      </c>
      <c r="J32" s="45">
        <f>J31*'① 자동화 가정'!C18</f>
        <v>3173462.3602500004</v>
      </c>
      <c r="K32" s="45">
        <f>K31*'① 자동화 가정'!C18</f>
        <v>3554277.8434800012</v>
      </c>
      <c r="L32" s="45">
        <f>L31*'① 자동화 가정'!C18</f>
        <v>3935093.3267100016</v>
      </c>
      <c r="M32" s="45">
        <f>M31*'① 자동화 가정'!C18</f>
        <v>4315908.8099400019</v>
      </c>
      <c r="N32" s="45">
        <f>N31*'① 자동화 가정'!C18</f>
        <v>4696724.2931700023</v>
      </c>
      <c r="O32" s="46">
        <f>N31*'① 자동화 가정'!C18</f>
        <v>4696724.2931700023</v>
      </c>
    </row>
    <row r="33" spans="2:16" ht="6" customHeight="1"/>
    <row r="34" spans="2:16" ht="18" customHeight="1">
      <c r="B34" s="3" t="s">
        <v>113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2:16">
      <c r="B35" s="5" t="s">
        <v>13</v>
      </c>
      <c r="C35" s="6" t="s">
        <v>79</v>
      </c>
      <c r="D35" s="6" t="s">
        <v>80</v>
      </c>
      <c r="E35" s="6" t="s">
        <v>81</v>
      </c>
      <c r="F35" s="6" t="s">
        <v>82</v>
      </c>
      <c r="G35" s="6" t="s">
        <v>83</v>
      </c>
      <c r="H35" s="6" t="s">
        <v>84</v>
      </c>
      <c r="I35" s="6" t="s">
        <v>85</v>
      </c>
      <c r="J35" s="6" t="s">
        <v>86</v>
      </c>
      <c r="K35" s="6" t="s">
        <v>87</v>
      </c>
      <c r="L35" s="6" t="s">
        <v>88</v>
      </c>
      <c r="M35" s="6" t="s">
        <v>89</v>
      </c>
      <c r="N35" s="6" t="s">
        <v>90</v>
      </c>
      <c r="O35" s="5" t="s">
        <v>91</v>
      </c>
    </row>
    <row r="36" spans="2:16">
      <c r="B36" s="36" t="s">
        <v>114</v>
      </c>
      <c r="C36" s="45">
        <f t="shared" ref="C36:N36" si="0">C8+C12+C16+C20+C24+C28+C32</f>
        <v>8885694.6086999997</v>
      </c>
      <c r="D36" s="45">
        <f t="shared" si="0"/>
        <v>15867311.801250003</v>
      </c>
      <c r="E36" s="45">
        <f t="shared" si="0"/>
        <v>22848928.993800011</v>
      </c>
      <c r="F36" s="45">
        <f t="shared" si="0"/>
        <v>29830546.18635001</v>
      </c>
      <c r="G36" s="45">
        <f t="shared" si="0"/>
        <v>36812163.378900006</v>
      </c>
      <c r="H36" s="45">
        <f t="shared" si="0"/>
        <v>43793780.57145001</v>
      </c>
      <c r="I36" s="45">
        <f t="shared" si="0"/>
        <v>50775397.764000013</v>
      </c>
      <c r="J36" s="45">
        <f t="shared" si="0"/>
        <v>57630076.462140024</v>
      </c>
      <c r="K36" s="45">
        <f t="shared" si="0"/>
        <v>64484755.160280012</v>
      </c>
      <c r="L36" s="45">
        <f t="shared" si="0"/>
        <v>71339433.858420029</v>
      </c>
      <c r="M36" s="45">
        <f t="shared" si="0"/>
        <v>78067174.062150002</v>
      </c>
      <c r="N36" s="45">
        <f t="shared" si="0"/>
        <v>84794914.265880018</v>
      </c>
      <c r="O36" s="46">
        <f>SUM(C36:N36)</f>
        <v>565130177.11332011</v>
      </c>
    </row>
    <row r="37" spans="2:16">
      <c r="B37" s="55" t="s">
        <v>115</v>
      </c>
      <c r="C37" s="46">
        <f>C36</f>
        <v>8885694.6086999997</v>
      </c>
      <c r="D37" s="46">
        <f t="shared" ref="D37:N37" si="1">C37+D36</f>
        <v>24753006.409950003</v>
      </c>
      <c r="E37" s="46">
        <f t="shared" si="1"/>
        <v>47601935.403750017</v>
      </c>
      <c r="F37" s="46">
        <f t="shared" si="1"/>
        <v>77432481.59010002</v>
      </c>
      <c r="G37" s="46">
        <f t="shared" si="1"/>
        <v>114244644.96900003</v>
      </c>
      <c r="H37" s="46">
        <f t="shared" si="1"/>
        <v>158038425.54045004</v>
      </c>
      <c r="I37" s="46">
        <f t="shared" si="1"/>
        <v>208813823.30445004</v>
      </c>
      <c r="J37" s="46">
        <f t="shared" si="1"/>
        <v>266443899.76659006</v>
      </c>
      <c r="K37" s="46">
        <f t="shared" si="1"/>
        <v>330928654.92687005</v>
      </c>
      <c r="L37" s="46">
        <f t="shared" si="1"/>
        <v>402268088.78529006</v>
      </c>
      <c r="M37" s="46">
        <f t="shared" si="1"/>
        <v>480335262.84744006</v>
      </c>
      <c r="N37" s="46">
        <f t="shared" si="1"/>
        <v>565130177.11332011</v>
      </c>
      <c r="O37" s="45">
        <f>N37</f>
        <v>565130177.11332011</v>
      </c>
    </row>
  </sheetData>
  <mergeCells count="4">
    <mergeCell ref="B1:P1"/>
    <mergeCell ref="B2:P2"/>
    <mergeCell ref="B4:P4"/>
    <mergeCell ref="B34:P34"/>
  </mergeCells>
  <phoneticPr fontId="21" type="noConversion"/>
  <pageMargins left="0.25" right="0.25" top="0.75" bottom="0.75" header="0.3" footer="0.3"/>
  <pageSetup paperSize="9" scale="67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8"/>
  <sheetViews>
    <sheetView showGridLines="0" zoomScale="172" zoomScaleNormal="100" workbookViewId="0">
      <selection activeCell="G8" sqref="G8"/>
    </sheetView>
  </sheetViews>
  <sheetFormatPr baseColWidth="10" defaultColWidth="8.6640625" defaultRowHeight="15" customHeight="1"/>
  <cols>
    <col min="1" max="1" width="2" customWidth="1"/>
    <col min="2" max="2" width="22" customWidth="1"/>
    <col min="3" max="3" width="32" customWidth="1"/>
    <col min="4" max="4" width="16" customWidth="1"/>
    <col min="5" max="5" width="14" customWidth="1"/>
    <col min="6" max="6" width="20" customWidth="1"/>
    <col min="7" max="8" width="16" customWidth="1"/>
    <col min="9" max="9" width="18" customWidth="1"/>
  </cols>
  <sheetData>
    <row r="1" spans="2:10" ht="31.5" customHeight="1">
      <c r="B1" s="4" t="s">
        <v>116</v>
      </c>
      <c r="C1" s="4"/>
      <c r="D1" s="4"/>
      <c r="E1" s="4"/>
      <c r="F1" s="4"/>
      <c r="G1" s="4"/>
      <c r="H1" s="4"/>
      <c r="I1" s="4"/>
      <c r="J1" s="4"/>
    </row>
    <row r="2" spans="2:10" ht="18" customHeight="1">
      <c r="B2" s="3" t="s">
        <v>117</v>
      </c>
      <c r="C2" s="3"/>
      <c r="D2" s="3"/>
      <c r="E2" s="3"/>
      <c r="F2" s="3"/>
      <c r="G2" s="3"/>
      <c r="H2" s="3"/>
      <c r="I2" s="3"/>
      <c r="J2" s="3"/>
    </row>
    <row r="3" spans="2:10" ht="6" customHeight="1"/>
    <row r="4" spans="2:10" ht="18" customHeight="1">
      <c r="B4" s="3" t="s">
        <v>118</v>
      </c>
      <c r="C4" s="3"/>
      <c r="D4" s="3"/>
      <c r="E4" s="3"/>
      <c r="F4" s="3"/>
      <c r="G4" s="3"/>
      <c r="H4" s="3"/>
      <c r="I4" s="3"/>
      <c r="J4" s="3"/>
    </row>
    <row r="5" spans="2:10">
      <c r="B5" s="5" t="s">
        <v>119</v>
      </c>
      <c r="C5" s="6" t="s">
        <v>120</v>
      </c>
      <c r="D5" s="6" t="s">
        <v>121</v>
      </c>
      <c r="E5" s="6" t="s">
        <v>122</v>
      </c>
      <c r="F5" s="6" t="s">
        <v>123</v>
      </c>
      <c r="G5" s="6" t="s">
        <v>124</v>
      </c>
    </row>
    <row r="6" spans="2:10">
      <c r="B6" s="16" t="s">
        <v>125</v>
      </c>
      <c r="C6" s="56">
        <f>'② 1년차 월별 시뮬'!N6+'② 1년차 월별 시뮬'!N10+'② 1년차 월별 시뮬'!N14+'② 1년차 월별 시뮬'!N18+'② 1년차 월별 시뮬'!N22+'② 1년차 월별 시뮬'!N26+'② 1년차 월별 시뮬'!N30</f>
        <v>668</v>
      </c>
      <c r="D6" s="56">
        <f>ROUND(C6*'① 자동화 가정'!C36,0)</f>
        <v>800</v>
      </c>
      <c r="E6" s="57">
        <f>ROUND(D6*'① 자동화 가정'!C37,0)</f>
        <v>1024</v>
      </c>
      <c r="F6" s="56">
        <f>ROUND(E6*'① 자동화 가정'!C38,0)</f>
        <v>1390</v>
      </c>
      <c r="G6" s="58">
        <f>ROUND(F6*'① 자동화 가정'!C39,0)</f>
        <v>1960</v>
      </c>
    </row>
    <row r="7" spans="2:10">
      <c r="B7" s="16" t="s">
        <v>126</v>
      </c>
      <c r="C7" s="59">
        <f>'② 1년차 월별 시뮬'!O36/'① 자동화 가정'!C18/12</f>
        <v>33638.701018650005</v>
      </c>
      <c r="D7" s="60">
        <f>C7*'① 자동화 가정'!C36*(1+'① 자동화 가정'!C19)*(1+'① 자동화 가정'!C20)</f>
        <v>43583.545671700645</v>
      </c>
      <c r="E7" s="61">
        <f>D7*'① 자동화 가정'!C37*(1+'① 자동화 가정'!C19)*(1+'① 자동화 가정'!C20)</f>
        <v>60333.573944248645</v>
      </c>
      <c r="F7" s="62">
        <f>E7*'① 자동화 가정'!C38*(1+'① 자동화 가정'!C19)*(1+'① 자동화 가정'!C20)</f>
        <v>88545.281619496571</v>
      </c>
      <c r="G7" s="63">
        <f>F7*'① 자동화 가정'!C39*(1+'① 자동화 가정'!C19)*(1+'① 자동화 가정'!C20)</f>
        <v>135024.02812079462</v>
      </c>
    </row>
    <row r="8" spans="2:10">
      <c r="B8" s="64" t="s">
        <v>127</v>
      </c>
      <c r="C8" s="65">
        <f>'② 1년차 월별 시뮬'!O36</f>
        <v>565130177.11332011</v>
      </c>
      <c r="D8" s="66">
        <f>C8*'① 자동화 가정'!C36*(1+'① 자동화 가정'!C19)*(1+'① 자동화 가정'!C20)</f>
        <v>732203567.28457081</v>
      </c>
      <c r="E8" s="66">
        <f>D8*'① 자동화 가정'!C37*(1+'① 자동화 가정'!C19)*(1+'① 자동화 가정'!C20)</f>
        <v>1013604042.2633771</v>
      </c>
      <c r="F8" s="66">
        <f>E8*'① 자동화 가정'!C38*(1+'① 자동화 가정'!C19)*(1+'① 자동화 가정'!C20)</f>
        <v>1487560731.2075422</v>
      </c>
      <c r="G8" s="66">
        <f>F8*'① 자동화 가정'!C39*(1+'① 자동화 가정'!C19)*(1+'① 자동화 가정'!C20)</f>
        <v>2268403672.4293494</v>
      </c>
    </row>
    <row r="9" spans="2:10">
      <c r="B9" s="64" t="s">
        <v>128</v>
      </c>
      <c r="C9" s="65">
        <f>C8</f>
        <v>565130177.11332011</v>
      </c>
      <c r="D9" s="67">
        <f>C9+D8</f>
        <v>1297333744.397891</v>
      </c>
      <c r="E9" s="67">
        <f>D9+E8</f>
        <v>2310937786.6612682</v>
      </c>
      <c r="F9" s="67">
        <f>E9+F8</f>
        <v>3798498517.8688107</v>
      </c>
      <c r="G9" s="67">
        <f>F9+G8</f>
        <v>6066902190.2981606</v>
      </c>
    </row>
    <row r="10" spans="2:10">
      <c r="B10" s="16" t="s">
        <v>129</v>
      </c>
      <c r="C10" s="68">
        <f>C8/12</f>
        <v>47094181.426110007</v>
      </c>
      <c r="D10" s="68">
        <f>D8/12</f>
        <v>61016963.940380901</v>
      </c>
      <c r="E10" s="68">
        <f>E8/12</f>
        <v>84467003.521948084</v>
      </c>
      <c r="F10" s="68">
        <f>F8/12</f>
        <v>123963394.26729518</v>
      </c>
      <c r="G10" s="68">
        <f>G8/12</f>
        <v>189033639.36911246</v>
      </c>
    </row>
    <row r="11" spans="2:10">
      <c r="B11" s="16" t="s">
        <v>130</v>
      </c>
      <c r="C11" s="65">
        <f>IF(C6&gt;0,C10/C6,0)</f>
        <v>70500.27159597307</v>
      </c>
      <c r="D11" s="67">
        <f>IF(D6&gt;0,D10/D6,0)</f>
        <v>76271.204925476122</v>
      </c>
      <c r="E11" s="66">
        <f>IF(E6&gt;0,E10/E6,0)</f>
        <v>82487.308126902426</v>
      </c>
      <c r="F11" s="69">
        <f>IF(F6&gt;0,F10/F6,0)</f>
        <v>89182.298034025313</v>
      </c>
      <c r="G11" s="70">
        <f>IF(G6&gt;0,G10/G6,0)</f>
        <v>96445.73437199615</v>
      </c>
    </row>
    <row r="12" spans="2:10" ht="28">
      <c r="B12" s="13" t="s">
        <v>131</v>
      </c>
      <c r="C12" s="71">
        <f>'① 자동화 가정'!C6</f>
        <v>12.8</v>
      </c>
      <c r="D12" s="72">
        <f>C12*(1+'① 자동화 가정'!C19)</f>
        <v>13.440000000000001</v>
      </c>
      <c r="E12" s="73">
        <f>D12*(1+'① 자동화 가정'!C19)</f>
        <v>14.112000000000002</v>
      </c>
      <c r="F12" s="74">
        <f>E12*(1+'① 자동화 가정'!C19)</f>
        <v>14.817600000000002</v>
      </c>
      <c r="G12" s="75">
        <f>F12*(1+'① 자동화 가정'!C19)</f>
        <v>15.558480000000003</v>
      </c>
    </row>
    <row r="13" spans="2:10">
      <c r="B13" s="13" t="s">
        <v>132</v>
      </c>
      <c r="C13" s="76">
        <f>'① 자동화 가정'!C12</f>
        <v>0.24</v>
      </c>
      <c r="D13" s="77">
        <f>MIN(C13*(1+'① 자동화 가정'!C20),0.45)</f>
        <v>0.2472</v>
      </c>
      <c r="E13" s="78">
        <f>MIN(D13*(1+'① 자동화 가정'!C20),0.45)</f>
        <v>0.25461600000000001</v>
      </c>
      <c r="F13" s="79">
        <f>MIN(E13*(1+'① 자동화 가정'!C20),0.45)</f>
        <v>0.26225448000000001</v>
      </c>
      <c r="G13" s="80">
        <f>MIN(F13*(1+'① 자동화 가정'!C20),0.45)</f>
        <v>0.2701221144</v>
      </c>
    </row>
    <row r="14" spans="2:10" ht="6" customHeight="1"/>
    <row r="15" spans="2:10" ht="18" customHeight="1">
      <c r="B15" s="2" t="s">
        <v>133</v>
      </c>
      <c r="C15" s="2"/>
      <c r="D15" s="2"/>
      <c r="E15" s="2"/>
      <c r="F15" s="2"/>
      <c r="G15" s="2"/>
      <c r="H15" s="2"/>
      <c r="I15" s="2"/>
      <c r="J15" s="2"/>
    </row>
    <row r="16" spans="2:10">
      <c r="B16" s="5" t="s">
        <v>134</v>
      </c>
      <c r="C16" s="5" t="s">
        <v>135</v>
      </c>
      <c r="D16" s="6" t="s">
        <v>136</v>
      </c>
      <c r="E16" s="6" t="s">
        <v>137</v>
      </c>
      <c r="F16" s="6" t="s">
        <v>138</v>
      </c>
      <c r="G16" s="6" t="s">
        <v>139</v>
      </c>
      <c r="H16" s="6" t="s">
        <v>140</v>
      </c>
      <c r="I16" s="6" t="s">
        <v>141</v>
      </c>
    </row>
    <row r="17" spans="2:10">
      <c r="B17" s="81" t="s">
        <v>142</v>
      </c>
      <c r="C17" s="82">
        <v>0.5</v>
      </c>
      <c r="D17" s="67">
        <f>C17*'① 자동화 가정'!C36*(1+'① 자동화 가정'!C19)*(1+'① 자동화 가정'!C20)</f>
        <v>0.64781850000000007</v>
      </c>
      <c r="E17" s="67">
        <f>D17*'① 자동화 가정'!C37*(1+'① 자동화 가정'!C19)*(1+'① 자동화 가정'!C20)</f>
        <v>0.89678810592000024</v>
      </c>
      <c r="F17" s="67">
        <f>E17*'① 자동화 가정'!C38*(1+'① 자동화 가정'!C19)*(1+'① 자동화 가정'!C20)</f>
        <v>1.3161221887017158</v>
      </c>
      <c r="G17" s="67">
        <f>F17*'① 자동화 가정'!C39*(1+'① 자동화 가정'!C19)*(1+'① 자동화 가정'!C20)</f>
        <v>2.0069744673840768</v>
      </c>
      <c r="I17" s="45">
        <f>SUM(D17:H17)</f>
        <v>4.8677032620057927</v>
      </c>
    </row>
    <row r="18" spans="2:10">
      <c r="B18" s="83" t="s">
        <v>143</v>
      </c>
      <c r="C18" s="82">
        <v>1</v>
      </c>
      <c r="D18" s="68">
        <f>C18*'① 자동화 가정'!C36*(1+'① 자동화 가정'!C19)*(1+'① 자동화 가정'!C20)</f>
        <v>1.2956370000000001</v>
      </c>
      <c r="E18" s="68">
        <f>D18*'① 자동화 가정'!C37*(1+'① 자동화 가정'!C19)*(1+'① 자동화 가정'!C20)</f>
        <v>1.7935762118400005</v>
      </c>
      <c r="F18" s="68">
        <f>E18*'① 자동화 가정'!C38*(1+'① 자동화 가정'!C19)*(1+'① 자동화 가정'!C20)</f>
        <v>2.6322443774034316</v>
      </c>
      <c r="G18" s="68">
        <f>F18*'① 자동화 가정'!C39*(1+'① 자동화 가정'!C19)*(1+'① 자동화 가정'!C20)</f>
        <v>4.0139489347681536</v>
      </c>
      <c r="I18" s="45">
        <f>SUM(D18:H18)</f>
        <v>9.7354065240115855</v>
      </c>
    </row>
    <row r="19" spans="2:10">
      <c r="B19" s="84" t="s">
        <v>144</v>
      </c>
      <c r="C19" s="82">
        <v>2</v>
      </c>
      <c r="D19" s="69">
        <f>C19*'① 자동화 가정'!C36*(1+'① 자동화 가정'!C19)*(1+'① 자동화 가정'!C20)</f>
        <v>2.5912740000000003</v>
      </c>
      <c r="E19" s="69">
        <f>D19*'① 자동화 가정'!C37*(1+'① 자동화 가정'!C19)*(1+'① 자동화 가정'!C20)</f>
        <v>3.587152423680001</v>
      </c>
      <c r="F19" s="69">
        <f>E19*'① 자동화 가정'!C38*(1+'① 자동화 가정'!C19)*(1+'① 자동화 가정'!C20)</f>
        <v>5.2644887548068633</v>
      </c>
      <c r="G19" s="69">
        <f>F19*'① 자동화 가정'!C39*(1+'① 자동화 가정'!C19)*(1+'① 자동화 가정'!C20)</f>
        <v>8.0278978695363072</v>
      </c>
      <c r="I19" s="45">
        <f>SUM(D19:H19)</f>
        <v>19.470813048023171</v>
      </c>
    </row>
    <row r="20" spans="2:10">
      <c r="B20" s="85" t="s">
        <v>145</v>
      </c>
      <c r="C20" s="82">
        <v>3</v>
      </c>
      <c r="D20" s="66">
        <f>C20*'① 자동화 가정'!C36*(1+'① 자동화 가정'!C19)*(1+'① 자동화 가정'!C20)</f>
        <v>3.886911</v>
      </c>
      <c r="E20" s="66">
        <f>D20*'① 자동화 가정'!C37*(1+'① 자동화 가정'!C19)*(1+'① 자동화 가정'!C20)</f>
        <v>5.3807286355200006</v>
      </c>
      <c r="F20" s="66">
        <f>E20*'① 자동화 가정'!C38*(1+'① 자동화 가정'!C19)*(1+'① 자동화 가정'!C20)</f>
        <v>7.8967331322102945</v>
      </c>
      <c r="G20" s="66">
        <f>F20*'① 자동화 가정'!C39*(1+'① 자동화 가정'!C19)*(1+'① 자동화 가정'!C20)</f>
        <v>12.041846804304463</v>
      </c>
      <c r="I20" s="45">
        <f>SUM(D20:H20)</f>
        <v>29.206219572034758</v>
      </c>
    </row>
    <row r="21" spans="2:10" ht="6" customHeight="1"/>
    <row r="22" spans="2:10" ht="18" customHeight="1">
      <c r="B22" s="3" t="s">
        <v>146</v>
      </c>
      <c r="C22" s="3"/>
      <c r="D22" s="3"/>
      <c r="E22" s="3"/>
      <c r="F22" s="3"/>
      <c r="G22" s="3"/>
      <c r="H22" s="3"/>
      <c r="I22" s="3"/>
      <c r="J22" s="3"/>
    </row>
    <row r="23" spans="2:10">
      <c r="B23" s="5" t="s">
        <v>147</v>
      </c>
      <c r="C23" s="5" t="s">
        <v>148</v>
      </c>
      <c r="D23" s="5" t="s">
        <v>149</v>
      </c>
      <c r="E23" s="6" t="s">
        <v>150</v>
      </c>
      <c r="F23" s="5" t="s">
        <v>151</v>
      </c>
    </row>
    <row r="24" spans="2:10" ht="28">
      <c r="B24" s="86" t="s">
        <v>152</v>
      </c>
      <c r="C24" s="87" t="s">
        <v>153</v>
      </c>
      <c r="D24" s="88" t="s">
        <v>154</v>
      </c>
      <c r="E24" s="89" t="s">
        <v>155</v>
      </c>
      <c r="F24" s="87" t="s">
        <v>156</v>
      </c>
    </row>
    <row r="25" spans="2:10" ht="28">
      <c r="B25" s="90" t="s">
        <v>157</v>
      </c>
      <c r="C25" s="13" t="s">
        <v>158</v>
      </c>
      <c r="D25" s="91" t="s">
        <v>154</v>
      </c>
      <c r="E25" s="92" t="s">
        <v>159</v>
      </c>
      <c r="F25" s="16" t="s">
        <v>160</v>
      </c>
    </row>
    <row r="26" spans="2:10">
      <c r="B26" s="86" t="s">
        <v>161</v>
      </c>
      <c r="C26" s="87" t="s">
        <v>162</v>
      </c>
      <c r="D26" s="88" t="s">
        <v>154</v>
      </c>
      <c r="E26" s="89" t="s">
        <v>163</v>
      </c>
      <c r="F26" s="87" t="s">
        <v>164</v>
      </c>
    </row>
    <row r="27" spans="2:10">
      <c r="B27" s="64" t="s">
        <v>165</v>
      </c>
      <c r="C27" s="16" t="s">
        <v>166</v>
      </c>
      <c r="D27" s="91" t="s">
        <v>154</v>
      </c>
      <c r="E27" s="92" t="s">
        <v>167</v>
      </c>
      <c r="F27" s="16" t="s">
        <v>168</v>
      </c>
    </row>
    <row r="28" spans="2:10">
      <c r="B28" s="93" t="s">
        <v>169</v>
      </c>
      <c r="C28" s="87" t="s">
        <v>170</v>
      </c>
      <c r="D28" s="94" t="s">
        <v>171</v>
      </c>
      <c r="E28" s="95" t="s">
        <v>172</v>
      </c>
      <c r="F28" s="7" t="s">
        <v>173</v>
      </c>
    </row>
  </sheetData>
  <mergeCells count="5">
    <mergeCell ref="B1:J1"/>
    <mergeCell ref="B2:J2"/>
    <mergeCell ref="B4:J4"/>
    <mergeCell ref="B15:J15"/>
    <mergeCell ref="B22:J2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64"/>
  <sheetViews>
    <sheetView showGridLines="0" topLeftCell="A6" zoomScaleNormal="100" workbookViewId="0"/>
  </sheetViews>
  <sheetFormatPr baseColWidth="10" defaultColWidth="8.6640625" defaultRowHeight="15" customHeight="1"/>
  <cols>
    <col min="1" max="1" width="2" customWidth="1"/>
    <col min="2" max="2" width="6" customWidth="1"/>
    <col min="3" max="3" width="12" customWidth="1"/>
    <col min="4" max="4" width="14" customWidth="1"/>
    <col min="5" max="10" width="16" customWidth="1"/>
  </cols>
  <sheetData>
    <row r="1" spans="2:10" ht="31.5" customHeight="1">
      <c r="B1" s="4" t="s">
        <v>174</v>
      </c>
      <c r="C1" s="4"/>
      <c r="D1" s="4"/>
      <c r="E1" s="4"/>
      <c r="F1" s="4"/>
      <c r="G1" s="4"/>
      <c r="H1" s="4"/>
      <c r="I1" s="4"/>
      <c r="J1" s="4"/>
    </row>
    <row r="2" spans="2:10" ht="18" customHeight="1">
      <c r="B2" s="2" t="s">
        <v>175</v>
      </c>
      <c r="C2" s="2"/>
      <c r="D2" s="2"/>
      <c r="E2" s="2"/>
      <c r="F2" s="2"/>
      <c r="G2" s="2"/>
      <c r="H2" s="2"/>
      <c r="I2" s="2"/>
      <c r="J2" s="2"/>
    </row>
    <row r="3" spans="2:10" ht="6" customHeight="1"/>
    <row r="4" spans="2:10">
      <c r="B4" s="5" t="s">
        <v>176</v>
      </c>
      <c r="C4" s="5" t="s">
        <v>64</v>
      </c>
      <c r="D4" s="5" t="s">
        <v>177</v>
      </c>
      <c r="E4" s="6" t="s">
        <v>178</v>
      </c>
      <c r="F4" s="6" t="s">
        <v>179</v>
      </c>
      <c r="G4" s="6" t="s">
        <v>180</v>
      </c>
      <c r="H4" s="5" t="s">
        <v>181</v>
      </c>
      <c r="I4" s="5" t="s">
        <v>182</v>
      </c>
      <c r="J4" s="5" t="s">
        <v>183</v>
      </c>
    </row>
    <row r="5" spans="2:10">
      <c r="B5" s="96">
        <v>1</v>
      </c>
      <c r="C5" s="96">
        <v>1</v>
      </c>
      <c r="D5" s="56">
        <f>'② 1년차 월별 시뮬'!C6+'② 1년차 월별 시뮬'!C10+'② 1년차 월별 시뮬'!C14+'② 1년차 월별 시뮬'!C18+'② 1년차 월별 시뮬'!C22+'② 1년차 월별 시뮬'!C26+'② 1년차 월별 시뮬'!C30</f>
        <v>70</v>
      </c>
      <c r="E5" s="71">
        <f>'② 1년차 월별 시뮬'!C36/'① 자동화 가정'!C18/(1+'① 자동화 가정'!C12*'① 자동화 가정'!F7/'① 자동화 가정'!F6+'① 자동화 가정'!C13*'① 자동화 가정'!F8/'① 자동화 가정'!F6)</f>
        <v>2750.9664000000007</v>
      </c>
      <c r="F5" s="71">
        <f>E5*'① 자동화 가정'!C12*'① 자동화 가정'!F7/'① 자동화 가정'!F6</f>
        <v>2047.8019379999998</v>
      </c>
      <c r="G5" s="71">
        <f>E5*'① 자동화 가정'!C13*'① 자동화 가정'!F8/'① 자동화 가정'!F6</f>
        <v>1548.1563825000001</v>
      </c>
      <c r="H5" s="71">
        <f>'② 1년차 월별 시뮬'!C36/'① 자동화 가정'!C18</f>
        <v>6346.9247205000001</v>
      </c>
      <c r="I5" s="65">
        <f>'② 1년차 월별 시뮬'!C36</f>
        <v>8885694.6086999997</v>
      </c>
      <c r="J5" s="97">
        <f>I5</f>
        <v>8885694.6086999997</v>
      </c>
    </row>
    <row r="6" spans="2:10">
      <c r="B6" s="96">
        <v>2</v>
      </c>
      <c r="C6" s="96">
        <v>1</v>
      </c>
      <c r="D6" s="56">
        <f>'② 1년차 월별 시뮬'!D6+'② 1년차 월별 시뮬'!D10+'② 1년차 월별 시뮬'!D14+'② 1년차 월별 시뮬'!D18+'② 1년차 월별 시뮬'!D22+'② 1년차 월별 시뮬'!D26+'② 1년차 월별 시뮬'!D30</f>
        <v>125</v>
      </c>
      <c r="E6" s="71">
        <f>'② 1년차 월별 시뮬'!D36/'① 자동화 가정'!C18/(1+'① 자동화 가정'!C12*'① 자동화 가정'!F7/'① 자동화 가정'!F6+'① 자동화 가정'!C13*'① 자동화 가정'!F8/'① 자동화 가정'!F6)</f>
        <v>4912.4400000000032</v>
      </c>
      <c r="F6" s="71">
        <f>E6*'① 자동화 가정'!C12*'① 자동화 가정'!F7/'① 자동화 가정'!F6</f>
        <v>3656.7891750000008</v>
      </c>
      <c r="G6" s="71">
        <f>E6*'① 자동화 가정'!C13*'① 자동화 가정'!F8/'① 자동화 가정'!F6</f>
        <v>2764.5649687500008</v>
      </c>
      <c r="H6" s="71">
        <f>'② 1년차 월별 시뮬'!D36/'① 자동화 가정'!C18</f>
        <v>11333.794143750003</v>
      </c>
      <c r="I6" s="65">
        <f>'② 1년차 월별 시뮬'!D36</f>
        <v>15867311.801250003</v>
      </c>
      <c r="J6" s="97">
        <f t="shared" ref="J6:J37" si="0">J5+I6</f>
        <v>24753006.409950003</v>
      </c>
    </row>
    <row r="7" spans="2:10">
      <c r="B7" s="96">
        <v>3</v>
      </c>
      <c r="C7" s="96">
        <v>1</v>
      </c>
      <c r="D7" s="56">
        <f>'② 1년차 월별 시뮬'!E6+'② 1년차 월별 시뮬'!E10+'② 1년차 월별 시뮬'!E14+'② 1년차 월별 시뮬'!E18+'② 1년차 월별 시뮬'!E22+'② 1년차 월별 시뮬'!E26+'② 1년차 월별 시뮬'!E30</f>
        <v>180</v>
      </c>
      <c r="E7" s="71">
        <f>'② 1년차 월별 시뮬'!E36/'① 자동화 가정'!C18/(1+'① 자동화 가정'!C12*'① 자동화 가정'!F7/'① 자동화 가정'!F6+'① 자동화 가정'!C13*'① 자동화 가정'!F8/'① 자동화 가정'!F6)</f>
        <v>7073.9136000000053</v>
      </c>
      <c r="F7" s="71">
        <f>E7*'① 자동화 가정'!C12*'① 자동화 가정'!F7/'① 자동화 가정'!F6</f>
        <v>5265.776412000002</v>
      </c>
      <c r="G7" s="71">
        <f>E7*'① 자동화 가정'!C13*'① 자동화 가정'!F8/'① 자동화 가정'!F6</f>
        <v>3980.9735550000014</v>
      </c>
      <c r="H7" s="71">
        <f>'② 1년차 월별 시뮬'!E36/'① 자동화 가정'!C18</f>
        <v>16320.663567000007</v>
      </c>
      <c r="I7" s="65">
        <f>'② 1년차 월별 시뮬'!E36</f>
        <v>22848928.993800011</v>
      </c>
      <c r="J7" s="97">
        <f t="shared" si="0"/>
        <v>47601935.403750017</v>
      </c>
    </row>
    <row r="8" spans="2:10">
      <c r="B8" s="96">
        <v>4</v>
      </c>
      <c r="C8" s="96">
        <v>1</v>
      </c>
      <c r="D8" s="56">
        <f>'② 1년차 월별 시뮬'!F6+'② 1년차 월별 시뮬'!F10+'② 1년차 월별 시뮬'!F14+'② 1년차 월별 시뮬'!F18+'② 1년차 월별 시뮬'!F22+'② 1년차 월별 시뮬'!F26+'② 1년차 월별 시뮬'!F30</f>
        <v>235</v>
      </c>
      <c r="E8" s="71">
        <f>'② 1년차 월별 시뮬'!F36/'① 자동화 가정'!C18/(1+'① 자동화 가정'!C12*'① 자동화 가정'!F7/'① 자동화 가정'!F6+'① 자동화 가정'!C13*'① 자동화 가정'!F8/'① 자동화 가정'!F6)</f>
        <v>9235.3872000000065</v>
      </c>
      <c r="F8" s="71">
        <f>E8*'① 자동화 가정'!C12*'① 자동화 가정'!F7/'① 자동화 가정'!F6</f>
        <v>6874.7636490000023</v>
      </c>
      <c r="G8" s="71">
        <f>E8*'① 자동화 가정'!C13*'① 자동화 가정'!F8/'① 자동화 가정'!F6</f>
        <v>5197.382141250002</v>
      </c>
      <c r="H8" s="71">
        <f>'② 1년차 월별 시뮬'!F36/'① 자동화 가정'!C18</f>
        <v>21307.532990250009</v>
      </c>
      <c r="I8" s="65">
        <f>'② 1년차 월별 시뮬'!F36</f>
        <v>29830546.18635001</v>
      </c>
      <c r="J8" s="97">
        <f t="shared" si="0"/>
        <v>77432481.59010002</v>
      </c>
    </row>
    <row r="9" spans="2:10">
      <c r="B9" s="96">
        <v>5</v>
      </c>
      <c r="C9" s="96">
        <v>1</v>
      </c>
      <c r="D9" s="56">
        <f>'② 1년차 월별 시뮬'!G6+'② 1년차 월별 시뮬'!G10+'② 1년차 월별 시뮬'!G14+'② 1년차 월별 시뮬'!G18+'② 1년차 월별 시뮬'!G22+'② 1년차 월별 시뮬'!G26+'② 1년차 월별 시뮬'!G30</f>
        <v>290</v>
      </c>
      <c r="E9" s="71">
        <f>'② 1년차 월별 시뮬'!G36/'① 자동화 가정'!C18/(1+'① 자동화 가정'!C12*'① 자동화 가정'!F7/'① 자동화 가정'!F6+'① 자동화 가정'!C13*'① 자동화 가정'!F8/'① 자동화 가정'!F6)</f>
        <v>11396.860800000006</v>
      </c>
      <c r="F9" s="71">
        <f>E9*'① 자동화 가정'!C12*'① 자동화 가정'!F7/'① 자동화 가정'!F6</f>
        <v>8483.7508860000016</v>
      </c>
      <c r="G9" s="71">
        <f>E9*'① 자동화 가정'!C13*'① 자동화 가정'!F8/'① 자동화 가정'!F6</f>
        <v>6413.7907275000007</v>
      </c>
      <c r="H9" s="71">
        <f>'② 1년차 월별 시뮬'!G36/'① 자동화 가정'!C18</f>
        <v>26294.402413500004</v>
      </c>
      <c r="I9" s="65">
        <f>'② 1년차 월별 시뮬'!G36</f>
        <v>36812163.378900006</v>
      </c>
      <c r="J9" s="97">
        <f t="shared" si="0"/>
        <v>114244644.96900003</v>
      </c>
    </row>
    <row r="10" spans="2:10">
      <c r="B10" s="96">
        <v>6</v>
      </c>
      <c r="C10" s="96">
        <v>1</v>
      </c>
      <c r="D10" s="56">
        <f>'② 1년차 월별 시뮬'!H6+'② 1년차 월별 시뮬'!H10+'② 1년차 월별 시뮬'!H14+'② 1년차 월별 시뮬'!H18+'② 1년차 월별 시뮬'!H22+'② 1년차 월별 시뮬'!H26+'② 1년차 월별 시뮬'!H30</f>
        <v>345</v>
      </c>
      <c r="E10" s="71">
        <f>'② 1년차 월별 시뮬'!H36/'① 자동화 가정'!C18/(1+'① 자동화 가정'!C12*'① 자동화 가정'!F7/'① 자동화 가정'!F6+'① 자동화 가정'!C13*'① 자동화 가정'!F8/'① 자동화 가정'!F6)</f>
        <v>13558.334400000007</v>
      </c>
      <c r="F10" s="71">
        <f>E10*'① 자동화 가정'!C12*'① 자동화 가정'!F7/'① 자동화 가정'!F6</f>
        <v>10092.738123000001</v>
      </c>
      <c r="G10" s="71">
        <f>E10*'① 자동화 가정'!C13*'① 자동화 가정'!F8/'① 자동화 가정'!F6</f>
        <v>7630.1993137500021</v>
      </c>
      <c r="H10" s="71">
        <f>'② 1년차 월별 시뮬'!H36/'① 자동화 가정'!C18</f>
        <v>31281.271836750006</v>
      </c>
      <c r="I10" s="65">
        <f>'② 1년차 월별 시뮬'!H36</f>
        <v>43793780.57145001</v>
      </c>
      <c r="J10" s="97">
        <f t="shared" si="0"/>
        <v>158038425.54045004</v>
      </c>
    </row>
    <row r="11" spans="2:10">
      <c r="B11" s="96">
        <v>7</v>
      </c>
      <c r="C11" s="96">
        <v>1</v>
      </c>
      <c r="D11" s="56">
        <f>'② 1년차 월별 시뮬'!I6+'② 1년차 월별 시뮬'!I10+'② 1년차 월별 시뮬'!I14+'② 1년차 월별 시뮬'!I18+'② 1년차 월별 시뮬'!I22+'② 1년차 월별 시뮬'!I26+'② 1년차 월별 시뮬'!I30</f>
        <v>400</v>
      </c>
      <c r="E11" s="71">
        <f>'② 1년차 월별 시뮬'!I36/'① 자동화 가정'!C18/(1+'① 자동화 가정'!C12*'① 자동화 가정'!F7/'① 자동화 가정'!F6+'① 자동화 가정'!C13*'① 자동화 가정'!F8/'① 자동화 가정'!F6)</f>
        <v>15719.80800000001</v>
      </c>
      <c r="F11" s="71">
        <f>E11*'① 자동화 가정'!C12*'① 자동화 가정'!F7/'① 자동화 가정'!F6</f>
        <v>11701.725360000004</v>
      </c>
      <c r="G11" s="71">
        <f>E11*'① 자동화 가정'!C13*'① 자동화 가정'!F8/'① 자동화 가정'!F6</f>
        <v>8846.6079000000027</v>
      </c>
      <c r="H11" s="71">
        <f>'② 1년차 월별 시뮬'!I36/'① 자동화 가정'!C18</f>
        <v>36268.141260000011</v>
      </c>
      <c r="I11" s="65">
        <f>'② 1년차 월별 시뮬'!I36</f>
        <v>50775397.764000013</v>
      </c>
      <c r="J11" s="97">
        <f t="shared" si="0"/>
        <v>208813823.30445004</v>
      </c>
    </row>
    <row r="12" spans="2:10">
      <c r="B12" s="96">
        <v>8</v>
      </c>
      <c r="C12" s="96">
        <v>1</v>
      </c>
      <c r="D12" s="56">
        <f>'② 1년차 월별 시뮬'!J6+'② 1년차 월별 시뮬'!J10+'② 1년차 월별 시뮬'!J14+'② 1년차 월별 시뮬'!J18+'② 1년차 월별 시뮬'!J22+'② 1년차 월별 시뮬'!J26+'② 1년차 월별 시뮬'!J30</f>
        <v>454</v>
      </c>
      <c r="E12" s="71">
        <f>'② 1년차 월별 시뮬'!J36/'① 자동화 가정'!C18/(1+'① 자동화 가정'!C12*'① 자동화 가정'!F7/'① 자동화 가정'!F6+'① 자동화 가정'!C13*'① 자동화 가정'!F8/'① 자동화 가정'!F6)</f>
        <v>17841.982080000013</v>
      </c>
      <c r="F12" s="71">
        <f>E12*'① 자동화 가정'!C12*'① 자동화 가정'!F7/'① 자동화 가정'!F6</f>
        <v>13281.458283600005</v>
      </c>
      <c r="G12" s="71">
        <f>E12*'① 자동화 가정'!C13*'① 자동화 가정'!F8/'① 자동화 가정'!F6</f>
        <v>10040.899966500005</v>
      </c>
      <c r="H12" s="71">
        <f>'② 1년차 월별 시뮬'!J36/'① 자동화 가정'!C18</f>
        <v>41164.340330100014</v>
      </c>
      <c r="I12" s="65">
        <f>'② 1년차 월별 시뮬'!J36</f>
        <v>57630076.462140024</v>
      </c>
      <c r="J12" s="97">
        <f t="shared" si="0"/>
        <v>266443899.76659006</v>
      </c>
    </row>
    <row r="13" spans="2:10">
      <c r="B13" s="96">
        <v>9</v>
      </c>
      <c r="C13" s="96">
        <v>1</v>
      </c>
      <c r="D13" s="56">
        <f>'② 1년차 월별 시뮬'!K6+'② 1년차 월별 시뮬'!K10+'② 1년차 월별 시뮬'!K14+'② 1년차 월별 시뮬'!K18+'② 1년차 월별 시뮬'!K22+'② 1년차 월별 시뮬'!K26+'② 1년차 월별 시뮬'!K30</f>
        <v>508</v>
      </c>
      <c r="E13" s="71">
        <f>'② 1년차 월별 시뮬'!K36/'① 자동화 가정'!C18/(1+'① 자동화 가정'!C12*'① 자동화 가정'!F7/'① 자동화 가정'!F6+'① 자동화 가정'!C13*'① 자동화 가정'!F8/'① 자동화 가정'!F6)</f>
        <v>19964.15616000001</v>
      </c>
      <c r="F13" s="71">
        <f>E13*'① 자동화 가정'!C12*'① 자동화 가정'!F7/'① 자동화 가정'!F6</f>
        <v>14861.1912072</v>
      </c>
      <c r="G13" s="71">
        <f>E13*'① 자동화 가정'!C13*'① 자동화 가정'!F8/'① 자동화 가정'!F6</f>
        <v>11235.192033000003</v>
      </c>
      <c r="H13" s="71">
        <f>'② 1년차 월별 시뮬'!K36/'① 자동화 가정'!C18</f>
        <v>46060.53940020001</v>
      </c>
      <c r="I13" s="65">
        <f>'② 1년차 월별 시뮬'!K36</f>
        <v>64484755.160280012</v>
      </c>
      <c r="J13" s="97">
        <f t="shared" si="0"/>
        <v>330928654.92687005</v>
      </c>
    </row>
    <row r="14" spans="2:10">
      <c r="B14" s="96">
        <v>10</v>
      </c>
      <c r="C14" s="96">
        <v>1</v>
      </c>
      <c r="D14" s="56">
        <f>'② 1년차 월별 시뮬'!L6+'② 1년차 월별 시뮬'!L10+'② 1년차 월별 시뮬'!L14+'② 1년차 월별 시뮬'!L18+'② 1년차 월별 시뮬'!L22+'② 1년차 월별 시뮬'!L26+'② 1년차 월별 시뮬'!L30</f>
        <v>562</v>
      </c>
      <c r="E14" s="71">
        <f>'② 1년차 월별 시뮬'!L36/'① 자동화 가정'!C18/(1+'① 자동화 가정'!C12*'① 자동화 가정'!F7/'① 자동화 가정'!F6+'① 자동화 가정'!C13*'① 자동화 가정'!F8/'① 자동화 가정'!F6)</f>
        <v>22086.330240000018</v>
      </c>
      <c r="F14" s="71">
        <f>E14*'① 자동화 가정'!C12*'① 자동화 가정'!F7/'① 자동화 가정'!F6</f>
        <v>16440.924130800006</v>
      </c>
      <c r="G14" s="71">
        <f>E14*'① 자동화 가정'!C13*'① 자동화 가정'!F8/'① 자동화 가정'!F6</f>
        <v>12429.484099500007</v>
      </c>
      <c r="H14" s="71">
        <f>'② 1년차 월별 시뮬'!L36/'① 자동화 가정'!C18</f>
        <v>50956.738470300021</v>
      </c>
      <c r="I14" s="65">
        <f>'② 1년차 월별 시뮬'!L36</f>
        <v>71339433.858420029</v>
      </c>
      <c r="J14" s="97">
        <f t="shared" si="0"/>
        <v>402268088.78529006</v>
      </c>
    </row>
    <row r="15" spans="2:10">
      <c r="B15" s="96">
        <v>11</v>
      </c>
      <c r="C15" s="96">
        <v>1</v>
      </c>
      <c r="D15" s="56">
        <f>'② 1년차 월별 시뮬'!M6+'② 1년차 월별 시뮬'!M10+'② 1년차 월별 시뮬'!M14+'② 1년차 월별 시뮬'!M18+'② 1년차 월별 시뮬'!M22+'② 1년차 월별 시뮬'!M26+'② 1년차 월별 시뮬'!M30</f>
        <v>615</v>
      </c>
      <c r="E15" s="71">
        <f>'② 1년차 월별 시뮬'!M36/'① 자동화 가정'!C18/(1+'① 자동화 가정'!C12*'① 자동화 가정'!F7/'① 자동화 가정'!F6+'① 자동화 가정'!C13*'① 자동화 가정'!F8/'① 자동화 가정'!F6)</f>
        <v>24169.204800000007</v>
      </c>
      <c r="F15" s="71">
        <f>E15*'① 자동화 가정'!C12*'① 자동화 가정'!F7/'① 자동화 가정'!F6</f>
        <v>17991.402740999998</v>
      </c>
      <c r="G15" s="71">
        <f>E15*'① 자동화 가정'!C13*'① 자동화 가정'!F8/'① 자동화 가정'!F6</f>
        <v>13601.659646249998</v>
      </c>
      <c r="H15" s="71">
        <f>'② 1년차 월별 시뮬'!M36/'① 자동화 가정'!C18</f>
        <v>55762.26718725</v>
      </c>
      <c r="I15" s="65">
        <f>'② 1년차 월별 시뮬'!M36</f>
        <v>78067174.062150002</v>
      </c>
      <c r="J15" s="97">
        <f t="shared" si="0"/>
        <v>480335262.84744006</v>
      </c>
    </row>
    <row r="16" spans="2:10">
      <c r="B16" s="96">
        <v>12</v>
      </c>
      <c r="C16" s="96">
        <v>1</v>
      </c>
      <c r="D16" s="56">
        <f>'② 1년차 월별 시뮬'!N6+'② 1년차 월별 시뮬'!N10+'② 1년차 월별 시뮬'!N14+'② 1년차 월별 시뮬'!N18+'② 1년차 월별 시뮬'!N22+'② 1년차 월별 시뮬'!N26+'② 1년차 월별 시뮬'!N30</f>
        <v>668</v>
      </c>
      <c r="E16" s="71">
        <f>'② 1년차 월별 시뮬'!N36/'① 자동화 가정'!C18/(1+'① 자동화 가정'!C12*'① 자동화 가정'!F7/'① 자동화 가정'!F6+'① 자동화 가정'!C13*'① 자동화 가정'!F8/'① 자동화 가정'!F6)</f>
        <v>26252.079360000014</v>
      </c>
      <c r="F16" s="71">
        <f>E16*'① 자동화 가정'!C12*'① 자동화 가정'!F7/'① 자동화 가정'!F6</f>
        <v>19541.881351200002</v>
      </c>
      <c r="G16" s="71">
        <f>E16*'① 자동화 가정'!C13*'① 자동화 가정'!F8/'① 자동화 가정'!F6</f>
        <v>14773.835193000004</v>
      </c>
      <c r="H16" s="71">
        <f>'② 1년차 월별 시뮬'!N36/'① 자동화 가정'!C18</f>
        <v>60567.795904200015</v>
      </c>
      <c r="I16" s="65">
        <f>'② 1년차 월별 시뮬'!N36</f>
        <v>84794914.265880018</v>
      </c>
      <c r="J16" s="97">
        <f t="shared" si="0"/>
        <v>565130177.11332011</v>
      </c>
    </row>
    <row r="17" spans="2:10">
      <c r="B17" s="98">
        <v>13</v>
      </c>
      <c r="C17" s="98">
        <v>2</v>
      </c>
      <c r="D17" s="99">
        <f>ROUND(D16*(1+('① 자동화 가정'!C14-'① 자동화 가정'!C15)/12),0)</f>
        <v>665</v>
      </c>
      <c r="E17" s="72">
        <f>E16*'① 자동화 가정'!C35^(1/12)*(1+'① 자동화 가정'!C19)^(1/12)</f>
        <v>26648.425508125067</v>
      </c>
      <c r="F17" s="72">
        <f>F16*'① 자동화 가정'!C35^(1/12)*(1+'① 자동화 가정'!C19)^(1/12)*(1+'① 자동화 가정'!C20)^(1/12)</f>
        <v>19885.84210321098</v>
      </c>
      <c r="G17" s="72">
        <f>G16*'① 자동화 가정'!C35^(1/12)*(1+'① 자동화 가정'!C19)^(1/12)*(1+'① 자동화 가정'!C20)^(1/12)</f>
        <v>15033.872564619725</v>
      </c>
      <c r="H17" s="72">
        <f t="shared" ref="H17:H64" si="1">E17+F17+G17</f>
        <v>61568.140175955778</v>
      </c>
      <c r="I17" s="67">
        <f>H17*'① 자동화 가정'!C18</f>
        <v>86195396.246338084</v>
      </c>
      <c r="J17" s="100">
        <f t="shared" si="0"/>
        <v>651325573.35965824</v>
      </c>
    </row>
    <row r="18" spans="2:10">
      <c r="B18" s="98">
        <v>14</v>
      </c>
      <c r="C18" s="98">
        <v>2</v>
      </c>
      <c r="D18" s="99">
        <f>ROUND(D17*(1+('① 자동화 가정'!C14-'① 자동화 가정'!C15)/12),0)</f>
        <v>662</v>
      </c>
      <c r="E18" s="72">
        <f>E17*'① 자동화 가정'!C35^(1/12)*(1+'① 자동화 가정'!C19)^(1/12)</f>
        <v>27050.755573446899</v>
      </c>
      <c r="F18" s="72">
        <f>F17*'① 자동화 가정'!C35^(1/12)*(1+'① 자동화 가정'!C19)^(1/12)*(1+'① 자동화 가정'!C20)^(1/12)</f>
        <v>20235.856980553992</v>
      </c>
      <c r="G18" s="72">
        <f>G17*'① 자동화 가정'!C35^(1/12)*(1+'① 자동화 가정'!C19)^(1/12)*(1+'① 자동화 가정'!C20)^(1/12)</f>
        <v>15298.486908552697</v>
      </c>
      <c r="H18" s="72">
        <f t="shared" si="1"/>
        <v>62585.09946255359</v>
      </c>
      <c r="I18" s="67">
        <f>H18*'① 자동화 가정'!C18</f>
        <v>87619139.24757503</v>
      </c>
      <c r="J18" s="100">
        <f t="shared" si="0"/>
        <v>738944712.60723329</v>
      </c>
    </row>
    <row r="19" spans="2:10">
      <c r="B19" s="98">
        <v>15</v>
      </c>
      <c r="C19" s="98">
        <v>2</v>
      </c>
      <c r="D19" s="99">
        <f>ROUND(D18*(1+('① 자동화 가정'!C14-'① 자동화 가정'!C15)/12),0)</f>
        <v>659</v>
      </c>
      <c r="E19" s="72">
        <f>E18*'① 자동화 가정'!C35^(1/12)*(1+'① 자동화 가정'!C19)^(1/12)</f>
        <v>27459.159899381706</v>
      </c>
      <c r="F19" s="72">
        <f>F18*'① 자동화 가정'!C35^(1/12)*(1+'① 자동화 가정'!C19)^(1/12)*(1+'① 자동화 가정'!C20)^(1/12)</f>
        <v>20592.03254315869</v>
      </c>
      <c r="G19" s="72">
        <f>G18*'① 자동화 가정'!C35^(1/12)*(1+'① 자동화 가정'!C19)^(1/12)*(1+'① 자동화 가정'!C20)^(1/12)</f>
        <v>15567.758785048494</v>
      </c>
      <c r="H19" s="72">
        <f t="shared" si="1"/>
        <v>63618.951227588892</v>
      </c>
      <c r="I19" s="67">
        <f>H19*'① 자동화 가정'!C18</f>
        <v>89066531.718624443</v>
      </c>
      <c r="J19" s="100">
        <f t="shared" si="0"/>
        <v>828011244.32585776</v>
      </c>
    </row>
    <row r="20" spans="2:10">
      <c r="B20" s="98">
        <v>16</v>
      </c>
      <c r="C20" s="98">
        <v>2</v>
      </c>
      <c r="D20" s="99">
        <f>ROUND(D19*(1+('① 자동화 가정'!C14-'① 자동화 가정'!C15)/12),0)</f>
        <v>656</v>
      </c>
      <c r="E20" s="72">
        <f>E19*'① 자동화 가정'!C35^(1/12)*(1+'① 자동화 가정'!C19)^(1/12)</f>
        <v>27873.730193323929</v>
      </c>
      <c r="F20" s="72">
        <f>F19*'① 자동화 가정'!C35^(1/12)*(1+'① 자동화 가정'!C19)^(1/12)*(1+'① 자동화 가정'!C20)^(1/12)</f>
        <v>20954.477226538391</v>
      </c>
      <c r="G20" s="72">
        <f>G19*'① 자동화 가정'!C35^(1/12)*(1+'① 자동화 가정'!C19)^(1/12)*(1+'① 자동화 가정'!C20)^(1/12)</f>
        <v>15841.770172314538</v>
      </c>
      <c r="H20" s="72">
        <f t="shared" si="1"/>
        <v>64669.977592176852</v>
      </c>
      <c r="I20" s="67">
        <f>H20*'① 자동화 가정'!C18</f>
        <v>90537968.629047588</v>
      </c>
      <c r="J20" s="100">
        <f t="shared" si="0"/>
        <v>918549212.95490539</v>
      </c>
    </row>
    <row r="21" spans="2:10">
      <c r="B21" s="98">
        <v>17</v>
      </c>
      <c r="C21" s="98">
        <v>2</v>
      </c>
      <c r="D21" s="99">
        <f>ROUND(D20*(1+('① 자동화 가정'!C14-'① 자동화 가정'!C15)/12),0)</f>
        <v>653</v>
      </c>
      <c r="E21" s="72">
        <f>E20*'① 자동화 가정'!C35^(1/12)*(1+'① 자동화 가정'!C19)^(1/12)</f>
        <v>28294.559547239187</v>
      </c>
      <c r="F21" s="72">
        <f>F20*'① 자동화 가정'!C35^(1/12)*(1+'① 자동화 가정'!C19)^(1/12)*(1+'① 자동화 가정'!C20)^(1/12)</f>
        <v>21323.301374802621</v>
      </c>
      <c r="G21" s="72">
        <f>G20*'① 자동화 가정'!C35^(1/12)*(1+'① 자동화 가정'!C19)^(1/12)*(1+'① 자동화 가정'!C20)^(1/12)</f>
        <v>16120.604491473872</v>
      </c>
      <c r="H21" s="72">
        <f t="shared" si="1"/>
        <v>65738.465413515674</v>
      </c>
      <c r="I21" s="67">
        <f>H21*'① 자동화 가정'!C18</f>
        <v>92033851.578921944</v>
      </c>
      <c r="J21" s="100">
        <f t="shared" si="0"/>
        <v>1010583064.5338273</v>
      </c>
    </row>
    <row r="22" spans="2:10">
      <c r="B22" s="98">
        <v>18</v>
      </c>
      <c r="C22" s="98">
        <v>2</v>
      </c>
      <c r="D22" s="99">
        <f>ROUND(D21*(1+('① 자동화 가정'!C14-'① 자동화 가정'!C15)/12),0)</f>
        <v>650</v>
      </c>
      <c r="E22" s="72">
        <f>E21*'① 자동화 가정'!C35^(1/12)*(1+'① 자동화 가정'!C19)^(1/12)</f>
        <v>28721.742458568126</v>
      </c>
      <c r="F22" s="72">
        <f>F21*'① 자동화 가정'!C35^(1/12)*(1+'① 자동화 가정'!C19)^(1/12)*(1+'① 자동화 가정'!C20)^(1/12)</f>
        <v>21698.617274250726</v>
      </c>
      <c r="G22" s="72">
        <f>G21*'① 자동화 가정'!C35^(1/12)*(1+'① 자동화 가정'!C19)^(1/12)*(1+'① 자동화 가정'!C20)^(1/12)</f>
        <v>16404.346631962224</v>
      </c>
      <c r="H22" s="72">
        <f t="shared" si="1"/>
        <v>66824.706364781072</v>
      </c>
      <c r="I22" s="67">
        <f>H22*'① 자동화 가정'!C18</f>
        <v>93554588.910693496</v>
      </c>
      <c r="J22" s="100">
        <f t="shared" si="0"/>
        <v>1104137653.4445207</v>
      </c>
    </row>
    <row r="23" spans="2:10">
      <c r="B23" s="98">
        <v>19</v>
      </c>
      <c r="C23" s="98">
        <v>2</v>
      </c>
      <c r="D23" s="99">
        <f>ROUND(D22*(1+('① 자동화 가정'!C14-'① 자동화 가정'!C15)/12),0)</f>
        <v>647</v>
      </c>
      <c r="E23" s="72">
        <f>E22*'① 자동화 가정'!C35^(1/12)*(1+'① 자동화 가정'!C19)^(1/12)</f>
        <v>29155.374851445868</v>
      </c>
      <c r="F23" s="72">
        <f>F22*'① 자동화 가정'!C35^(1/12)*(1+'① 자동화 가정'!C19)^(1/12)*(1+'① 자동화 가정'!C20)^(1/12)</f>
        <v>22080.539187556751</v>
      </c>
      <c r="G23" s="72">
        <f>G22*'① 자동화 가정'!C35^(1/12)*(1+'① 자동화 가정'!C19)^(1/12)*(1+'① 자동화 가정'!C20)^(1/12)</f>
        <v>16693.08297737208</v>
      </c>
      <c r="H23" s="72">
        <f t="shared" si="1"/>
        <v>67928.997016374691</v>
      </c>
      <c r="I23" s="67">
        <f>H23*'① 자동화 가정'!C18</f>
        <v>95100595.822924569</v>
      </c>
      <c r="J23" s="100">
        <f t="shared" si="0"/>
        <v>1199238249.2674453</v>
      </c>
    </row>
    <row r="24" spans="2:10">
      <c r="B24" s="98">
        <v>20</v>
      </c>
      <c r="C24" s="98">
        <v>2</v>
      </c>
      <c r="D24" s="99">
        <f>ROUND(D23*(1+('① 자동화 가정'!C14-'① 자동화 가정'!C15)/12),0)</f>
        <v>644</v>
      </c>
      <c r="E24" s="72">
        <f>E23*'① 자동화 가정'!C35^(1/12)*(1+'① 자동화 가정'!C19)^(1/12)</f>
        <v>29595.554098241824</v>
      </c>
      <c r="F24" s="72">
        <f>F23*'① 자동화 가정'!C35^(1/12)*(1+'① 자동화 가정'!C19)^(1/12)*(1+'① 자동화 가정'!C20)^(1/12)</f>
        <v>22469.183388556026</v>
      </c>
      <c r="G24" s="72">
        <f>G23*'① 자동화 가정'!C35^(1/12)*(1+'① 자동화 가정'!C19)^(1/12)*(1+'① 자동화 가정'!C20)^(1/12)</f>
        <v>16986.901431751648</v>
      </c>
      <c r="H24" s="72">
        <f t="shared" si="1"/>
        <v>69051.638918549492</v>
      </c>
      <c r="I24" s="67">
        <f>H24*'① 자동화 가정'!C18</f>
        <v>96672294.48596929</v>
      </c>
      <c r="J24" s="100">
        <f t="shared" si="0"/>
        <v>1295910543.7534146</v>
      </c>
    </row>
    <row r="25" spans="2:10">
      <c r="B25" s="98">
        <v>21</v>
      </c>
      <c r="C25" s="98">
        <v>2</v>
      </c>
      <c r="D25" s="99">
        <f>ROUND(D24*(1+('① 자동화 가정'!C14-'① 자동화 가정'!C15)/12),0)</f>
        <v>641</v>
      </c>
      <c r="E25" s="72">
        <f>E24*'① 자동화 가정'!C35^(1/12)*(1+'① 자동화 가정'!C19)^(1/12)</f>
        <v>30042.379041424712</v>
      </c>
      <c r="F25" s="72">
        <f>F24*'① 자동화 가정'!C35^(1/12)*(1+'① 자동화 가정'!C19)^(1/12)*(1+'① 자동화 가정'!C20)^(1/12)</f>
        <v>22864.668197644056</v>
      </c>
      <c r="G25" s="72">
        <f>G24*'① 자동화 가정'!C35^(1/12)*(1+'① 자동화 가정'!C19)^(1/12)*(1+'① 자동화 가정'!C20)^(1/12)</f>
        <v>17285.891446366739</v>
      </c>
      <c r="H25" s="72">
        <f t="shared" si="1"/>
        <v>70192.938685435511</v>
      </c>
      <c r="I25" s="67">
        <f>H25*'① 자동화 가정'!C18</f>
        <v>98270114.15960972</v>
      </c>
      <c r="J25" s="100">
        <f t="shared" si="0"/>
        <v>1394180657.9130244</v>
      </c>
    </row>
    <row r="26" spans="2:10">
      <c r="B26" s="98">
        <v>22</v>
      </c>
      <c r="C26" s="98">
        <v>2</v>
      </c>
      <c r="D26" s="99">
        <f>ROUND(D25*(1+('① 자동화 가정'!C14-'① 자동화 가정'!C15)/12),0)</f>
        <v>638</v>
      </c>
      <c r="E26" s="72">
        <f>E25*'① 자동화 가정'!C35^(1/12)*(1+'① 자동화 가정'!C19)^(1/12)</f>
        <v>30495.950015757673</v>
      </c>
      <c r="F26" s="72">
        <f>F25*'① 자동화 가정'!C35^(1/12)*(1+'① 자동화 가정'!C19)^(1/12)*(1+'① 자동화 가정'!C20)^(1/12)</f>
        <v>23267.114017798427</v>
      </c>
      <c r="G26" s="72">
        <f>G25*'① 자동화 가정'!C35^(1/12)*(1+'① 자동화 가정'!C19)^(1/12)*(1+'① 자동화 가정'!C20)^(1/12)</f>
        <v>17590.144046933638</v>
      </c>
      <c r="H26" s="72">
        <f t="shared" si="1"/>
        <v>71353.208080489741</v>
      </c>
      <c r="I26" s="67">
        <f>H26*'① 자동화 가정'!C18</f>
        <v>99894491.312685639</v>
      </c>
      <c r="J26" s="100">
        <f t="shared" si="0"/>
        <v>1494075149.2257102</v>
      </c>
    </row>
    <row r="27" spans="2:10">
      <c r="B27" s="98">
        <v>23</v>
      </c>
      <c r="C27" s="98">
        <v>2</v>
      </c>
      <c r="D27" s="99">
        <f>ROUND(D26*(1+('① 자동화 가정'!C14-'① 자동화 가정'!C15)/12),0)</f>
        <v>635</v>
      </c>
      <c r="E27" s="72">
        <f>E26*'① 자동화 가정'!C35^(1/12)*(1+'① 자동화 가정'!C19)^(1/12)</f>
        <v>30956.368870828497</v>
      </c>
      <c r="F27" s="72">
        <f>F26*'① 자동화 가정'!C35^(1/12)*(1+'① 자동화 가정'!C19)^(1/12)*(1+'① 자동화 가정'!C20)^(1/12)</f>
        <v>23676.64337123479</v>
      </c>
      <c r="G27" s="72">
        <f>G26*'① 자동화 가정'!C35^(1/12)*(1+'① 자동화 가정'!C19)^(1/12)*(1+'① 자동화 가정'!C20)^(1/12)</f>
        <v>17899.751861331359</v>
      </c>
      <c r="H27" s="72">
        <f t="shared" si="1"/>
        <v>72532.764103394642</v>
      </c>
      <c r="I27" s="67">
        <f>H27*'① 자동화 가정'!C18</f>
        <v>101545869.7447525</v>
      </c>
      <c r="J27" s="100">
        <f t="shared" si="0"/>
        <v>1595621018.9704626</v>
      </c>
    </row>
    <row r="28" spans="2:10">
      <c r="B28" s="98">
        <v>24</v>
      </c>
      <c r="C28" s="98">
        <v>2</v>
      </c>
      <c r="D28" s="99">
        <f>ROUND(D27*(1+('① 자동화 가정'!C14-'① 자동화 가정'!C15)/12),0)</f>
        <v>632</v>
      </c>
      <c r="E28" s="72">
        <f>E27*'① 자동화 가정'!C35^(1/12)*(1+'① 자동화 가정'!C19)^(1/12)</f>
        <v>31423.73899392</v>
      </c>
      <c r="F28" s="72">
        <f>F27*'① 자동화 가정'!C35^(1/12)*(1+'① 자동화 가정'!C19)^(1/12)*(1+'① 자동화 가정'!C20)^(1/12)</f>
        <v>24093.38093670801</v>
      </c>
      <c r="G28" s="72">
        <f>G27*'① 자동화 가정'!C35^(1/12)*(1+'① 자동화 가정'!C19)^(1/12)*(1+'① 자동화 가정'!C20)^(1/12)</f>
        <v>18214.809147801647</v>
      </c>
      <c r="H28" s="72">
        <f t="shared" si="1"/>
        <v>73731.929078429661</v>
      </c>
      <c r="I28" s="67">
        <f>H28*'① 자동화 가정'!C18</f>
        <v>103224700.70980152</v>
      </c>
      <c r="J28" s="100">
        <f t="shared" si="0"/>
        <v>1698845719.680264</v>
      </c>
    </row>
    <row r="29" spans="2:10">
      <c r="B29" s="101">
        <v>25</v>
      </c>
      <c r="C29" s="101">
        <v>3</v>
      </c>
      <c r="D29" s="57">
        <f>ROUND(D28*(1+('① 자동화 가정'!C14-'① 자동화 가정'!C15)/12),0)</f>
        <v>629</v>
      </c>
      <c r="E29" s="73">
        <f>E28*'① 자동화 가정'!C36^(1/12)*(1+'① 자동화 가정'!C19)^(1/12)</f>
        <v>32030.351303486084</v>
      </c>
      <c r="F29" s="73">
        <f>F28*'① 자동화 가정'!C36^(1/12)*(1+'① 자동화 가정'!C19)^(1/12)*(1+'① 자동화 가정'!C20)^(1/12)</f>
        <v>24619.05389447555</v>
      </c>
      <c r="G29" s="73">
        <f>G28*'① 자동화 가정'!C36^(1/12)*(1+'① 자동화 가정'!C19)^(1/12)*(1+'① 자동화 가정'!C20)^(1/12)</f>
        <v>18612.222554622767</v>
      </c>
      <c r="H29" s="73">
        <f t="shared" si="1"/>
        <v>75261.627752584405</v>
      </c>
      <c r="I29" s="66">
        <f>H29*'① 자동화 가정'!C18</f>
        <v>105366278.85361817</v>
      </c>
      <c r="J29" s="102">
        <f t="shared" si="0"/>
        <v>1804211998.5338821</v>
      </c>
    </row>
    <row r="30" spans="2:10">
      <c r="B30" s="101">
        <v>26</v>
      </c>
      <c r="C30" s="101">
        <v>3</v>
      </c>
      <c r="D30" s="57">
        <f>ROUND(D29*(1+('① 자동화 가정'!C14-'① 자동화 가정'!C15)/12),0)</f>
        <v>626</v>
      </c>
      <c r="E30" s="73">
        <f>E29*'① 자동화 가정'!C36^(1/12)*(1+'① 자동화 가정'!C19)^(1/12)</f>
        <v>32648.673820236239</v>
      </c>
      <c r="F30" s="73">
        <f>F29*'① 자동화 가정'!C36^(1/12)*(1+'① 자동화 가정'!C19)^(1/12)*(1+'① 자동화 가정'!C20)^(1/12)</f>
        <v>25156.196062780789</v>
      </c>
      <c r="G30" s="73">
        <f>G29*'① 자동화 가정'!C36^(1/12)*(1+'① 자동화 가정'!C19)^(1/12)*(1+'① 자동화 가정'!C20)^(1/12)</f>
        <v>19018.306786081113</v>
      </c>
      <c r="H30" s="73">
        <f t="shared" si="1"/>
        <v>76823.176669098146</v>
      </c>
      <c r="I30" s="66">
        <f>H30*'① 자동화 가정'!C18</f>
        <v>107552447.33673741</v>
      </c>
      <c r="J30" s="102">
        <f t="shared" si="0"/>
        <v>1911764445.8706195</v>
      </c>
    </row>
    <row r="31" spans="2:10">
      <c r="B31" s="101">
        <v>27</v>
      </c>
      <c r="C31" s="101">
        <v>3</v>
      </c>
      <c r="D31" s="57">
        <f>ROUND(D30*(1+('① 자동화 가정'!C14-'① 자동화 가정'!C15)/12),0)</f>
        <v>623</v>
      </c>
      <c r="E31" s="73">
        <f>E30*'① 자동화 가정'!C36^(1/12)*(1+'① 자동화 가정'!C19)^(1/12)</f>
        <v>33278.932601159635</v>
      </c>
      <c r="F31" s="73">
        <f>F30*'① 자동화 가정'!C36^(1/12)*(1+'① 자동화 가정'!C19)^(1/12)*(1+'① 자동화 가정'!C20)^(1/12)</f>
        <v>25705.057678559857</v>
      </c>
      <c r="G31" s="73">
        <f>G30*'① 자동화 가정'!C36^(1/12)*(1+'① 자동화 가정'!C19)^(1/12)*(1+'① 자동화 가정'!C20)^(1/12)</f>
        <v>19433.251023514309</v>
      </c>
      <c r="H31" s="73">
        <f t="shared" si="1"/>
        <v>78417.241303233808</v>
      </c>
      <c r="I31" s="66">
        <f>H31*'① 자동화 가정'!C18</f>
        <v>109784137.82452734</v>
      </c>
      <c r="J31" s="102">
        <f t="shared" si="0"/>
        <v>2021548583.6951468</v>
      </c>
    </row>
    <row r="32" spans="2:10">
      <c r="B32" s="101">
        <v>28</v>
      </c>
      <c r="C32" s="101">
        <v>3</v>
      </c>
      <c r="D32" s="57">
        <f>ROUND(D31*(1+('① 자동화 가정'!C14-'① 자동화 가정'!C15)/12),0)</f>
        <v>620</v>
      </c>
      <c r="E32" s="73">
        <f>E31*'① 자동화 가정'!C36^(1/12)*(1+'① 자동화 가정'!C19)^(1/12)</f>
        <v>33921.358067110377</v>
      </c>
      <c r="F32" s="73">
        <f>F31*'① 자동화 가정'!C36^(1/12)*(1+'① 자동화 가정'!C19)^(1/12)*(1+'① 자동화 가정'!C20)^(1/12)</f>
        <v>26265.894438455463</v>
      </c>
      <c r="G32" s="73">
        <f>G31*'① 자동화 가정'!C36^(1/12)*(1+'① 자동화 가정'!C19)^(1/12)*(1+'① 자동화 가정'!C20)^(1/12)</f>
        <v>19857.248575846439</v>
      </c>
      <c r="H32" s="73">
        <f t="shared" si="1"/>
        <v>80044.50108141228</v>
      </c>
      <c r="I32" s="66">
        <f>H32*'① 자동화 가정'!C18</f>
        <v>112062301.51397718</v>
      </c>
      <c r="J32" s="102">
        <f t="shared" si="0"/>
        <v>2133610885.2091241</v>
      </c>
    </row>
    <row r="33" spans="2:10">
      <c r="B33" s="101">
        <v>29</v>
      </c>
      <c r="C33" s="101">
        <v>3</v>
      </c>
      <c r="D33" s="57">
        <f>ROUND(D32*(1+('① 자동화 가정'!C14-'① 자동화 가정'!C15)/12),0)</f>
        <v>617</v>
      </c>
      <c r="E33" s="73">
        <f>E32*'① 자동화 가정'!C36^(1/12)*(1+'① 자동화 가정'!C19)^(1/12)</f>
        <v>34576.185087048689</v>
      </c>
      <c r="F33" s="73">
        <f>F32*'① 자동화 가정'!C36^(1/12)*(1+'① 자동화 가정'!C19)^(1/12)*(1+'① 자동화 가정'!C20)^(1/12)</f>
        <v>26838.967617937575</v>
      </c>
      <c r="G33" s="73">
        <f>G32*'① 자동화 가정'!C36^(1/12)*(1+'① 자동화 가정'!C19)^(1/12)*(1+'① 자동화 가정'!C20)^(1/12)</f>
        <v>20290.496969644373</v>
      </c>
      <c r="H33" s="73">
        <f t="shared" si="1"/>
        <v>81705.649674630637</v>
      </c>
      <c r="I33" s="66">
        <f>H33*'① 자동화 가정'!C18</f>
        <v>114387909.54448289</v>
      </c>
      <c r="J33" s="102">
        <f t="shared" si="0"/>
        <v>2247998794.7536068</v>
      </c>
    </row>
    <row r="34" spans="2:10">
      <c r="B34" s="101">
        <v>30</v>
      </c>
      <c r="C34" s="101">
        <v>3</v>
      </c>
      <c r="D34" s="57">
        <f>ROUND(D33*(1+('① 자동화 가정'!C14-'① 자동화 가정'!C15)/12),0)</f>
        <v>614</v>
      </c>
      <c r="E34" s="73">
        <f>E33*'① 자동화 가정'!C36^(1/12)*(1+'① 자동화 가정'!C19)^(1/12)</f>
        <v>35243.653063908387</v>
      </c>
      <c r="F34" s="73">
        <f>F33*'① 자동화 가정'!C36^(1/12)*(1+'① 자동화 가정'!C19)^(1/12)*(1+'① 자동화 가정'!C20)^(1/12)</f>
        <v>27424.544193023106</v>
      </c>
      <c r="G34" s="73">
        <f>G33*'① 자동화 가정'!C36^(1/12)*(1+'① 자동화 가정'!C19)^(1/12)*(1+'① 자동화 가정'!C20)^(1/12)</f>
        <v>20733.198041138894</v>
      </c>
      <c r="H34" s="73">
        <f t="shared" si="1"/>
        <v>83401.395298070391</v>
      </c>
      <c r="I34" s="66">
        <f>H34*'① 자동화 가정'!C18</f>
        <v>116761953.41729854</v>
      </c>
      <c r="J34" s="102">
        <f t="shared" si="0"/>
        <v>2364760748.1709051</v>
      </c>
    </row>
    <row r="35" spans="2:10">
      <c r="B35" s="101">
        <v>31</v>
      </c>
      <c r="C35" s="101">
        <v>3</v>
      </c>
      <c r="D35" s="57">
        <f>ROUND(D34*(1+('① 자동화 가정'!C14-'① 자동화 가정'!C15)/12),0)</f>
        <v>611</v>
      </c>
      <c r="E35" s="73">
        <f>E34*'① 자동화 가정'!C36^(1/12)*(1+'① 자동화 가정'!C19)^(1/12)</f>
        <v>35924.00602212191</v>
      </c>
      <c r="F35" s="73">
        <f>F34*'① 자동화 가정'!C36^(1/12)*(1+'① 자동화 가정'!C19)^(1/12)*(1+'① 자동화 가정'!C20)^(1/12)</f>
        <v>28022.8969646513</v>
      </c>
      <c r="G35" s="73">
        <f>G34*'① 자동화 가정'!C36^(1/12)*(1+'① 자동화 가정'!C19)^(1/12)*(1+'① 자동화 가정'!C20)^(1/12)</f>
        <v>21185.5580302536</v>
      </c>
      <c r="H35" s="73">
        <f t="shared" si="1"/>
        <v>85132.461017026813</v>
      </c>
      <c r="I35" s="66">
        <f>H35*'① 자동화 가정'!C18</f>
        <v>119185445.42383754</v>
      </c>
      <c r="J35" s="102">
        <f t="shared" si="0"/>
        <v>2483946193.5947428</v>
      </c>
    </row>
    <row r="36" spans="2:10">
      <c r="B36" s="101">
        <v>32</v>
      </c>
      <c r="C36" s="101">
        <v>3</v>
      </c>
      <c r="D36" s="57">
        <f>ROUND(D35*(1+('① 자동화 가정'!C14-'① 자동화 가정'!C15)/12),0)</f>
        <v>608</v>
      </c>
      <c r="E36" s="73">
        <f>E35*'① 자동화 가정'!C36^(1/12)*(1+'① 자동화 가정'!C19)^(1/12)</f>
        <v>36617.492696834983</v>
      </c>
      <c r="F36" s="73">
        <f>F35*'① 자동화 가정'!C36^(1/12)*(1+'① 자동화 가정'!C19)^(1/12)*(1+'① 자동화 가정'!C20)^(1/12)</f>
        <v>28634.304685772735</v>
      </c>
      <c r="G36" s="73">
        <f>G35*'① 자동화 가정'!C36^(1/12)*(1+'① 자동화 가정'!C19)^(1/12)*(1+'① 자동화 가정'!C20)^(1/12)</f>
        <v>21647.787676685322</v>
      </c>
      <c r="H36" s="73">
        <f t="shared" si="1"/>
        <v>86899.585059293051</v>
      </c>
      <c r="I36" s="66">
        <f>H36*'① 자동화 가정'!C18</f>
        <v>121659419.08301027</v>
      </c>
      <c r="J36" s="102">
        <f t="shared" si="0"/>
        <v>2605605612.677753</v>
      </c>
    </row>
    <row r="37" spans="2:10">
      <c r="B37" s="101">
        <v>33</v>
      </c>
      <c r="C37" s="101">
        <v>3</v>
      </c>
      <c r="D37" s="57">
        <f>ROUND(D36*(1+('① 자동화 가정'!C14-'① 자동화 가정'!C15)/12),0)</f>
        <v>605</v>
      </c>
      <c r="E37" s="73">
        <f>E36*'① 자동화 가정'!C36^(1/12)*(1+'① 자동화 가정'!C19)^(1/12)</f>
        <v>37324.366624843489</v>
      </c>
      <c r="F37" s="73">
        <f>F36*'① 자동화 가정'!C36^(1/12)*(1+'① 자동화 가정'!C19)^(1/12)*(1+'① 자동화 가정'!C20)^(1/12)</f>
        <v>29259.052191211205</v>
      </c>
      <c r="G37" s="73">
        <f>G36*'① 자동화 가정'!C36^(1/12)*(1+'① 자동화 가정'!C19)^(1/12)*(1+'① 자동화 가정'!C20)^(1/12)</f>
        <v>22120.102318080841</v>
      </c>
      <c r="H37" s="73">
        <f t="shared" si="1"/>
        <v>88703.521134135532</v>
      </c>
      <c r="I37" s="66">
        <f>H37*'① 자동화 가정'!C18</f>
        <v>124184929.58778974</v>
      </c>
      <c r="J37" s="102">
        <f t="shared" si="0"/>
        <v>2729790542.2655425</v>
      </c>
    </row>
    <row r="38" spans="2:10">
      <c r="B38" s="101">
        <v>34</v>
      </c>
      <c r="C38" s="101">
        <v>3</v>
      </c>
      <c r="D38" s="57">
        <f>ROUND(D37*(1+('① 자동화 가정'!C14-'① 자동화 가정'!C15)/12),0)</f>
        <v>602</v>
      </c>
      <c r="E38" s="73">
        <f>E37*'① 자동화 가정'!C36^(1/12)*(1+'① 자동화 가정'!C19)^(1/12)</f>
        <v>38044.886237285798</v>
      </c>
      <c r="F38" s="73">
        <f>F37*'① 자동화 가정'!C36^(1/12)*(1+'① 자동화 가정'!C19)^(1/12)*(1+'① 자동화 가정'!C20)^(1/12)</f>
        <v>29897.430530358921</v>
      </c>
      <c r="G38" s="73">
        <f>G37*'① 자동화 가정'!C36^(1/12)*(1+'① 자동화 가정'!C19)^(1/12)*(1+'① 자동화 가정'!C20)^(1/12)</f>
        <v>22602.721990355651</v>
      </c>
      <c r="H38" s="73">
        <f t="shared" si="1"/>
        <v>90545.038758000373</v>
      </c>
      <c r="I38" s="66">
        <f>H38*'① 자동화 가정'!C18</f>
        <v>126763054.26120052</v>
      </c>
      <c r="J38" s="102">
        <f t="shared" ref="J38:J69" si="2">J37+I38</f>
        <v>2856553596.5267429</v>
      </c>
    </row>
    <row r="39" spans="2:10">
      <c r="B39" s="101">
        <v>35</v>
      </c>
      <c r="C39" s="101">
        <v>3</v>
      </c>
      <c r="D39" s="57">
        <f>ROUND(D38*(1+('① 자동화 가정'!C14-'① 자동화 가정'!C15)/12),0)</f>
        <v>599</v>
      </c>
      <c r="E39" s="73">
        <f>E38*'① 자동화 가정'!C36^(1/12)*(1+'① 자동화 가정'!C19)^(1/12)</f>
        <v>38779.314954124493</v>
      </c>
      <c r="F39" s="73">
        <f>F38*'① 자동화 가정'!C36^(1/12)*(1+'① 자동화 가정'!C19)^(1/12)*(1+'① 자동화 가정'!C20)^(1/12)</f>
        <v>30549.737102766885</v>
      </c>
      <c r="G39" s="73">
        <f>G38*'① 자동화 가정'!C36^(1/12)*(1+'① 자동화 가정'!C19)^(1/12)*(1+'① 자동화 가정'!C20)^(1/12)</f>
        <v>23095.871530201475</v>
      </c>
      <c r="H39" s="73">
        <f t="shared" si="1"/>
        <v>92424.923587092853</v>
      </c>
      <c r="I39" s="66">
        <f>H39*'① 자동화 가정'!C18</f>
        <v>129394893.02192999</v>
      </c>
      <c r="J39" s="102">
        <f t="shared" si="2"/>
        <v>2985948489.5486732</v>
      </c>
    </row>
    <row r="40" spans="2:10">
      <c r="B40" s="101">
        <v>36</v>
      </c>
      <c r="C40" s="101">
        <v>3</v>
      </c>
      <c r="D40" s="57">
        <f>ROUND(D39*(1+('① 자동화 가정'!C14-'① 자동화 가정'!C15)/12),0)</f>
        <v>597</v>
      </c>
      <c r="E40" s="73">
        <f>E39*'① 자동화 가정'!C36^(1/12)*(1+'① 자동화 가정'!C19)^(1/12)</f>
        <v>39527.92128045197</v>
      </c>
      <c r="F40" s="73">
        <f>F39*'① 자동화 가정'!C36^(1/12)*(1+'① 자동화 가정'!C19)^(1/12)*(1+'① 자동화 가정'!C20)^(1/12)</f>
        <v>31216.275796693604</v>
      </c>
      <c r="G40" s="73">
        <f>G39*'① 자동화 가정'!C36^(1/12)*(1+'① 자동화 가정'!C19)^(1/12)*(1+'① 자동화 가정'!C20)^(1/12)</f>
        <v>23599.78067983031</v>
      </c>
      <c r="H40" s="73">
        <f t="shared" si="1"/>
        <v>94343.977756975873</v>
      </c>
      <c r="I40" s="66">
        <f>H40*'① 자동화 가정'!C18</f>
        <v>132081568.85976623</v>
      </c>
      <c r="J40" s="102">
        <f t="shared" si="2"/>
        <v>3118030058.4084392</v>
      </c>
    </row>
    <row r="41" spans="2:10">
      <c r="B41" s="103">
        <v>37</v>
      </c>
      <c r="C41" s="103">
        <v>4</v>
      </c>
      <c r="D41" s="104">
        <f>ROUND(D40*(1+('① 자동화 가정'!C14-'① 자동화 가정'!C15)/12),0)</f>
        <v>595</v>
      </c>
      <c r="E41" s="74">
        <f>E40*'① 자동화 가정'!C37^(1/12)*(1+'① 자동화 가정'!C19)^(1/12)</f>
        <v>40513.887243077712</v>
      </c>
      <c r="F41" s="74">
        <f>F40*'① 자동화 가정'!C37^(1/12)*(1+'① 자동화 가정'!C19)^(1/12)*(1+'① 자동화 가정'!C20)^(1/12)</f>
        <v>32073.828069615534</v>
      </c>
      <c r="G41" s="74">
        <f>G40*'① 자동화 가정'!C37^(1/12)*(1+'① 자동화 가정'!C19)^(1/12)*(1+'① 자동화 가정'!C20)^(1/12)</f>
        <v>24248.097785120332</v>
      </c>
      <c r="H41" s="74">
        <f t="shared" si="1"/>
        <v>96835.813097813574</v>
      </c>
      <c r="I41" s="69">
        <f>H41*'① 자동화 가정'!C18</f>
        <v>135570138.33693901</v>
      </c>
      <c r="J41" s="105">
        <f t="shared" si="2"/>
        <v>3253600196.745378</v>
      </c>
    </row>
    <row r="42" spans="2:10">
      <c r="B42" s="103">
        <v>38</v>
      </c>
      <c r="C42" s="103">
        <v>4</v>
      </c>
      <c r="D42" s="104">
        <f>ROUND(D41*(1+('① 자동화 가정'!C14-'① 자동화 가정'!C15)/12),0)</f>
        <v>593</v>
      </c>
      <c r="E42" s="74">
        <f>E41*'① 자동화 가정'!C37^(1/12)*(1+'① 자동화 가정'!C19)^(1/12)</f>
        <v>41524.446679075329</v>
      </c>
      <c r="F42" s="74">
        <f>F41*'① 자동화 가정'!C37^(1/12)*(1+'① 자동화 가정'!C19)^(1/12)*(1+'① 자동화 가정'!C20)^(1/12)</f>
        <v>32954.938434655276</v>
      </c>
      <c r="G42" s="74">
        <f>G41*'① 자동화 가정'!C37^(1/12)*(1+'① 자동화 가정'!C19)^(1/12)*(1+'① 자동화 가정'!C20)^(1/12)</f>
        <v>24914.225016475248</v>
      </c>
      <c r="H42" s="74">
        <f t="shared" si="1"/>
        <v>99393.610130205852</v>
      </c>
      <c r="I42" s="69">
        <f>H42*'① 자동화 가정'!C18</f>
        <v>139151054.1822882</v>
      </c>
      <c r="J42" s="105">
        <f t="shared" si="2"/>
        <v>3392751250.9276662</v>
      </c>
    </row>
    <row r="43" spans="2:10">
      <c r="B43" s="103">
        <v>39</v>
      </c>
      <c r="C43" s="103">
        <v>4</v>
      </c>
      <c r="D43" s="104">
        <f>ROUND(D42*(1+('① 자동화 가정'!C14-'① 자동화 가정'!C15)/12),0)</f>
        <v>591</v>
      </c>
      <c r="E43" s="74">
        <f>E42*'① 자동화 가정'!C37^(1/12)*(1+'① 자동화 가정'!C19)^(1/12)</f>
        <v>42560.213036530688</v>
      </c>
      <c r="F43" s="74">
        <f>F42*'① 자동화 가정'!C37^(1/12)*(1+'① 자동화 가정'!C19)^(1/12)*(1+'① 자동화 가정'!C20)^(1/12)</f>
        <v>33860.254063678331</v>
      </c>
      <c r="G43" s="74">
        <f>G42*'① 자동화 가정'!C37^(1/12)*(1+'① 자동화 가정'!C19)^(1/12)*(1+'① 자동화 가정'!C20)^(1/12)</f>
        <v>25598.65164155106</v>
      </c>
      <c r="H43" s="74">
        <f t="shared" si="1"/>
        <v>102019.11874176007</v>
      </c>
      <c r="I43" s="69">
        <f>H43*'① 자동화 가정'!C18</f>
        <v>142826766.23846412</v>
      </c>
      <c r="J43" s="105">
        <f t="shared" si="2"/>
        <v>3535578017.1661301</v>
      </c>
    </row>
    <row r="44" spans="2:10">
      <c r="B44" s="103">
        <v>40</v>
      </c>
      <c r="C44" s="103">
        <v>4</v>
      </c>
      <c r="D44" s="104">
        <f>ROUND(D43*(1+('① 자동화 가정'!C14-'① 자동화 가정'!C15)/12),0)</f>
        <v>589</v>
      </c>
      <c r="E44" s="74">
        <f>E43*'① 자동화 가정'!C37^(1/12)*(1+'① 자동화 가정'!C19)^(1/12)</f>
        <v>43621.81506509149</v>
      </c>
      <c r="F44" s="74">
        <f>F43*'① 자동화 가정'!C37^(1/12)*(1+'① 자동화 가정'!C19)^(1/12)*(1+'① 자동화 가정'!C20)^(1/12)</f>
        <v>34790.439907215019</v>
      </c>
      <c r="G44" s="74">
        <f>G43*'① 자동화 가정'!C37^(1/12)*(1+'① 자동화 가정'!C19)^(1/12)*(1+'① 자동화 가정'!C20)^(1/12)</f>
        <v>26301.880368831651</v>
      </c>
      <c r="H44" s="74">
        <f t="shared" si="1"/>
        <v>104714.13534113817</v>
      </c>
      <c r="I44" s="69">
        <f>H44*'① 자동화 가정'!C18</f>
        <v>146599789.47759345</v>
      </c>
      <c r="J44" s="105">
        <f t="shared" si="2"/>
        <v>3682177806.6437235</v>
      </c>
    </row>
    <row r="45" spans="2:10">
      <c r="B45" s="103">
        <v>41</v>
      </c>
      <c r="C45" s="103">
        <v>4</v>
      </c>
      <c r="D45" s="104">
        <f>ROUND(D44*(1+('① 자동화 가정'!C14-'① 자동화 가정'!C15)/12),0)</f>
        <v>587</v>
      </c>
      <c r="E45" s="74">
        <f>E44*'① 자동화 가정'!C37^(1/12)*(1+'① 자동화 가정'!C19)^(1/12)</f>
        <v>44709.897197642305</v>
      </c>
      <c r="F45" s="74">
        <f>F44*'① 자동화 가정'!C37^(1/12)*(1+'① 자동화 가정'!C19)^(1/12)*(1+'① 자동화 가정'!C20)^(1/12)</f>
        <v>35746.179182863845</v>
      </c>
      <c r="G45" s="74">
        <f>G44*'① 자동화 가정'!C37^(1/12)*(1+'① 자동화 가정'!C19)^(1/12)*(1+'① 자동화 가정'!C20)^(1/12)</f>
        <v>27024.427716866074</v>
      </c>
      <c r="H45" s="74">
        <f t="shared" si="1"/>
        <v>107480.50409737224</v>
      </c>
      <c r="I45" s="69">
        <f>H45*'① 자동화 가정'!C18</f>
        <v>150472705.73632112</v>
      </c>
      <c r="J45" s="105">
        <f t="shared" si="2"/>
        <v>3832650512.3800445</v>
      </c>
    </row>
    <row r="46" spans="2:10">
      <c r="B46" s="103">
        <v>42</v>
      </c>
      <c r="C46" s="103">
        <v>4</v>
      </c>
      <c r="D46" s="104">
        <f>ROUND(D45*(1+('① 자동화 가정'!C14-'① 자동화 가정'!C15)/12),0)</f>
        <v>585</v>
      </c>
      <c r="E46" s="74">
        <f>E45*'① 자동화 가정'!C37^(1/12)*(1+'① 자동화 가정'!C19)^(1/12)</f>
        <v>45825.11994149987</v>
      </c>
      <c r="F46" s="74">
        <f>F45*'① 자동화 가정'!C37^(1/12)*(1+'① 자동화 가정'!C19)^(1/12)*(1+'① 자동화 가정'!C20)^(1/12)</f>
        <v>36728.173877111971</v>
      </c>
      <c r="G46" s="74">
        <f>G45*'① 자동화 가정'!C37^(1/12)*(1+'① 자동화 가정'!C19)^(1/12)*(1+'① 자동화 가정'!C20)^(1/12)</f>
        <v>27766.824393649262</v>
      </c>
      <c r="H46" s="74">
        <f t="shared" si="1"/>
        <v>110320.11821226111</v>
      </c>
      <c r="I46" s="69">
        <f>H46*'① 자동화 가정'!C18</f>
        <v>154448165.49716556</v>
      </c>
      <c r="J46" s="105">
        <f t="shared" si="2"/>
        <v>3987098677.8772101</v>
      </c>
    </row>
    <row r="47" spans="2:10">
      <c r="B47" s="103">
        <v>43</v>
      </c>
      <c r="C47" s="103">
        <v>4</v>
      </c>
      <c r="D47" s="104">
        <f>ROUND(D46*(1+('① 자동화 가정'!C14-'① 자동화 가정'!C15)/12),0)</f>
        <v>583</v>
      </c>
      <c r="E47" s="74">
        <f>E46*'① 자동화 가정'!C37^(1/12)*(1+'① 자동화 가정'!C19)^(1/12)</f>
        <v>46968.160279366188</v>
      </c>
      <c r="F47" s="74">
        <f>F46*'① 자동화 가정'!C37^(1/12)*(1+'① 자동화 가정'!C19)^(1/12)*(1+'① 자동화 가정'!C20)^(1/12)</f>
        <v>37737.145260941332</v>
      </c>
      <c r="G47" s="74">
        <f>G46*'① 자동화 가정'!C37^(1/12)*(1+'① 자동화 가정'!C19)^(1/12)*(1+'① 자동화 가정'!C20)^(1/12)</f>
        <v>28529.615686424811</v>
      </c>
      <c r="H47" s="74">
        <f t="shared" si="1"/>
        <v>113234.92122673232</v>
      </c>
      <c r="I47" s="69">
        <f>H47*'① 자동화 가정'!C18</f>
        <v>158528889.71742526</v>
      </c>
      <c r="J47" s="105">
        <f t="shared" si="2"/>
        <v>4145627567.5946355</v>
      </c>
    </row>
    <row r="48" spans="2:10">
      <c r="B48" s="103">
        <v>44</v>
      </c>
      <c r="C48" s="103">
        <v>4</v>
      </c>
      <c r="D48" s="104">
        <f>ROUND(D47*(1+('① 자동화 가정'!C14-'① 자동화 가정'!C15)/12),0)</f>
        <v>581</v>
      </c>
      <c r="E48" s="74">
        <f>E47*'① 자동화 가정'!C37^(1/12)*(1+'① 자동화 가정'!C19)^(1/12)</f>
        <v>48139.71208028285</v>
      </c>
      <c r="F48" s="74">
        <f>F47*'① 자동화 가정'!C37^(1/12)*(1+'① 자동화 가정'!C19)^(1/12)*(1+'① 자동화 가정'!C20)^(1/12)</f>
        <v>38773.834419599159</v>
      </c>
      <c r="G48" s="74">
        <f>G47*'① 자동화 가정'!C37^(1/12)*(1+'① 자동화 가정'!C19)^(1/12)*(1+'① 자동화 가정'!C20)^(1/12)</f>
        <v>29313.361862196169</v>
      </c>
      <c r="H48" s="74">
        <f t="shared" si="1"/>
        <v>116226.90836207817</v>
      </c>
      <c r="I48" s="69">
        <f>H48*'① 자동화 가정'!C18</f>
        <v>162717671.70690945</v>
      </c>
      <c r="J48" s="105">
        <f t="shared" si="2"/>
        <v>4308345239.3015451</v>
      </c>
    </row>
    <row r="49" spans="2:10">
      <c r="B49" s="103">
        <v>45</v>
      </c>
      <c r="C49" s="103">
        <v>4</v>
      </c>
      <c r="D49" s="104">
        <f>ROUND(D48*(1+('① 자동화 가정'!C14-'① 자동화 가정'!C15)/12),0)</f>
        <v>579</v>
      </c>
      <c r="E49" s="74">
        <f>E48*'① 자동화 가정'!C37^(1/12)*(1+'① 자동화 가정'!C19)^(1/12)</f>
        <v>49340.486520835962</v>
      </c>
      <c r="F49" s="74">
        <f>F48*'① 자동화 가정'!C37^(1/12)*(1+'① 자동화 가정'!C19)^(1/12)*(1+'① 자동화 가정'!C20)^(1/12)</f>
        <v>39839.002796921981</v>
      </c>
      <c r="G49" s="74">
        <f>G48*'① 자동화 가정'!C37^(1/12)*(1+'① 자동화 가정'!C19)^(1/12)*(1+'① 자동화 가정'!C20)^(1/12)</f>
        <v>30118.638579240414</v>
      </c>
      <c r="H49" s="74">
        <f t="shared" si="1"/>
        <v>119298.12789699837</v>
      </c>
      <c r="I49" s="69">
        <f>H49*'① 자동화 가정'!C18</f>
        <v>167017379.05579773</v>
      </c>
      <c r="J49" s="105">
        <f t="shared" si="2"/>
        <v>4475362618.3573427</v>
      </c>
    </row>
    <row r="50" spans="2:10">
      <c r="B50" s="103">
        <v>46</v>
      </c>
      <c r="C50" s="103">
        <v>4</v>
      </c>
      <c r="D50" s="104">
        <f>ROUND(D49*(1+('① 자동화 가정'!C14-'① 자동화 가정'!C15)/12),0)</f>
        <v>577</v>
      </c>
      <c r="E50" s="74">
        <f>E49*'① 자동화 가정'!C37^(1/12)*(1+'① 자동화 가정'!C19)^(1/12)</f>
        <v>50571.212516867447</v>
      </c>
      <c r="F50" s="74">
        <f>F49*'① 자동화 가정'!C37^(1/12)*(1+'① 자동화 가정'!C19)^(1/12)*(1+'① 자동화 가정'!C20)^(1/12)</f>
        <v>40933.432754612906</v>
      </c>
      <c r="G50" s="74">
        <f>G49*'① 자동화 가정'!C37^(1/12)*(1+'① 자동화 가정'!C19)^(1/12)*(1+'① 자동화 가정'!C20)^(1/12)</f>
        <v>30946.037309926836</v>
      </c>
      <c r="H50" s="74">
        <f t="shared" si="1"/>
        <v>122450.68258140718</v>
      </c>
      <c r="I50" s="69">
        <f>H50*'① 자동화 가정'!C18</f>
        <v>171430955.61397004</v>
      </c>
      <c r="J50" s="105">
        <f t="shared" si="2"/>
        <v>4646793573.9713125</v>
      </c>
    </row>
    <row r="51" spans="2:10">
      <c r="B51" s="103">
        <v>47</v>
      </c>
      <c r="C51" s="103">
        <v>4</v>
      </c>
      <c r="D51" s="104">
        <f>ROUND(D50*(1+('① 자동화 가정'!C14-'① 자동화 가정'!C15)/12),0)</f>
        <v>575</v>
      </c>
      <c r="E51" s="74">
        <f>E50*'① 자동화 가정'!C37^(1/12)*(1+'① 자동화 가정'!C19)^(1/12)</f>
        <v>51832.637165954737</v>
      </c>
      <c r="F51" s="74">
        <f>F50*'① 자동화 가정'!C37^(1/12)*(1+'① 자동화 가정'!C19)^(1/12)*(1+'① 자동화 가정'!C20)^(1/12)</f>
        <v>42057.928146883023</v>
      </c>
      <c r="G51" s="74">
        <f>G50*'① 자동화 가정'!C37^(1/12)*(1+'① 자동화 가정'!C19)^(1/12)*(1+'① 자동화 가정'!C20)^(1/12)</f>
        <v>31796.165775150908</v>
      </c>
      <c r="H51" s="74">
        <f t="shared" si="1"/>
        <v>125686.73108798866</v>
      </c>
      <c r="I51" s="69">
        <f>H51*'① 자동화 가정'!C18</f>
        <v>175961423.52318412</v>
      </c>
      <c r="J51" s="105">
        <f t="shared" si="2"/>
        <v>4822754997.4944963</v>
      </c>
    </row>
    <row r="52" spans="2:10">
      <c r="B52" s="103">
        <v>48</v>
      </c>
      <c r="C52" s="103">
        <v>4</v>
      </c>
      <c r="D52" s="104">
        <f>ROUND(D51*(1+('① 자동화 가정'!C14-'① 자동화 가정'!C15)/12),0)</f>
        <v>573</v>
      </c>
      <c r="E52" s="74">
        <f>E51*'① 자동화 가정'!C37^(1/12)*(1+'① 자동화 가정'!C19)^(1/12)</f>
        <v>53125.526200927467</v>
      </c>
      <c r="F52" s="74">
        <f>F51*'① 자동화 가정'!C37^(1/12)*(1+'① 자동화 가정'!C19)^(1/12)*(1+'① 자동화 가정'!C20)^(1/12)</f>
        <v>43213.314910878966</v>
      </c>
      <c r="G52" s="74">
        <f>G51*'① 자동화 가정'!C37^(1/12)*(1+'① 자동화 가정'!C19)^(1/12)*(1+'① 자동화 가정'!C20)^(1/12)</f>
        <v>32669.648390702736</v>
      </c>
      <c r="H52" s="74">
        <f t="shared" si="1"/>
        <v>129008.48950250915</v>
      </c>
      <c r="I52" s="69">
        <f>H52*'① 자동화 가정'!C18</f>
        <v>180611885.30351281</v>
      </c>
      <c r="J52" s="105">
        <f t="shared" si="2"/>
        <v>5003366882.7980089</v>
      </c>
    </row>
    <row r="53" spans="2:10">
      <c r="B53" s="106">
        <v>49</v>
      </c>
      <c r="C53" s="106">
        <v>5</v>
      </c>
      <c r="D53" s="58">
        <f>ROUND(D52*(1+('① 자동화 가정'!C14-'① 자동화 가정'!C15)/12),0)</f>
        <v>571</v>
      </c>
      <c r="E53" s="75">
        <f>E52*'① 자동화 가정'!C38^(1/12)*(1+'① 자동화 가정'!C19)^(1/12)</f>
        <v>54716.37788890407</v>
      </c>
      <c r="F53" s="75">
        <f>F52*'① 자동화 가정'!C38^(1/12)*(1+'① 자동화 가정'!C19)^(1/12)*(1+'① 자동화 가정'!C20)^(1/12)</f>
        <v>44617.111092436622</v>
      </c>
      <c r="G53" s="75">
        <f>G52*'① 자동화 가정'!C38^(1/12)*(1+'① 자동화 가정'!C19)^(1/12)*(1+'① 자동화 가정'!C20)^(1/12)</f>
        <v>33730.930723666126</v>
      </c>
      <c r="H53" s="75">
        <f t="shared" si="1"/>
        <v>133064.41970500682</v>
      </c>
      <c r="I53" s="70">
        <f>H53*'① 자동화 가정'!C18</f>
        <v>186290187.58700955</v>
      </c>
      <c r="J53" s="107">
        <f t="shared" si="2"/>
        <v>5189657070.3850183</v>
      </c>
    </row>
    <row r="54" spans="2:10">
      <c r="B54" s="106">
        <v>50</v>
      </c>
      <c r="C54" s="106">
        <v>5</v>
      </c>
      <c r="D54" s="58">
        <f>ROUND(D53*(1+('① 자동화 가정'!C14-'① 자동화 가정'!C15)/12),0)</f>
        <v>569</v>
      </c>
      <c r="E54" s="75">
        <f>E53*'① 자동화 가정'!C38^(1/12)*(1+'① 자동화 가정'!C19)^(1/12)</f>
        <v>56354.867864425651</v>
      </c>
      <c r="F54" s="75">
        <f>F53*'① 자동화 가정'!C38^(1/12)*(1+'① 자동화 가정'!C19)^(1/12)*(1+'① 자동화 가정'!C20)^(1/12)</f>
        <v>46066.509971297644</v>
      </c>
      <c r="G54" s="75">
        <f>G53*'① 자동화 가정'!C38^(1/12)*(1+'① 자동화 가정'!C19)^(1/12)*(1+'① 자동화 가정'!C20)^(1/12)</f>
        <v>34826.68909924836</v>
      </c>
      <c r="H54" s="75">
        <f t="shared" si="1"/>
        <v>137248.06693497166</v>
      </c>
      <c r="I54" s="70">
        <f>H54*'① 자동화 가정'!C18</f>
        <v>192147293.70896032</v>
      </c>
      <c r="J54" s="107">
        <f t="shared" si="2"/>
        <v>5381804364.0939789</v>
      </c>
    </row>
    <row r="55" spans="2:10">
      <c r="B55" s="106">
        <v>51</v>
      </c>
      <c r="C55" s="106">
        <v>5</v>
      </c>
      <c r="D55" s="58">
        <f>ROUND(D54*(1+('① 자동화 가정'!C14-'① 자동화 가정'!C15)/12),0)</f>
        <v>567</v>
      </c>
      <c r="E55" s="75">
        <f>E54*'① 자동화 가정'!C38^(1/12)*(1+'① 자동화 가정'!C19)^(1/12)</f>
        <v>58042.422663012381</v>
      </c>
      <c r="F55" s="75">
        <f>F54*'① 자동화 가정'!C38^(1/12)*(1+'① 자동화 가정'!C19)^(1/12)*(1+'① 자동화 가정'!C20)^(1/12)</f>
        <v>47562.992963374585</v>
      </c>
      <c r="G55" s="75">
        <f>G54*'① 자동화 가정'!C38^(1/12)*(1+'① 자동화 가정'!C19)^(1/12)*(1+'① 자동화 가정'!C20)^(1/12)</f>
        <v>35958.043480985754</v>
      </c>
      <c r="H55" s="75">
        <f t="shared" si="1"/>
        <v>141563.45910737274</v>
      </c>
      <c r="I55" s="70">
        <f>H55*'① 자동화 가정'!C18</f>
        <v>198188842.75032184</v>
      </c>
      <c r="J55" s="107">
        <f t="shared" si="2"/>
        <v>5579993206.8443003</v>
      </c>
    </row>
    <row r="56" spans="2:10">
      <c r="B56" s="106">
        <v>52</v>
      </c>
      <c r="C56" s="106">
        <v>5</v>
      </c>
      <c r="D56" s="58">
        <f>ROUND(D55*(1+('① 자동화 가정'!C14-'① 자동화 가정'!C15)/12),0)</f>
        <v>565</v>
      </c>
      <c r="E56" s="75">
        <f>E55*'① 자동화 가정'!C38^(1/12)*(1+'① 자동화 가정'!C19)^(1/12)</f>
        <v>59780.511538000181</v>
      </c>
      <c r="F56" s="75">
        <f>F55*'① 자동화 가정'!C38^(1/12)*(1+'① 자동화 가정'!C19)^(1/12)*(1+'① 자동화 가정'!C20)^(1/12)</f>
        <v>49108.08960877519</v>
      </c>
      <c r="G56" s="75">
        <f>G55*'① 자동화 가정'!C38^(1/12)*(1+'① 자동화 가정'!C19)^(1/12)*(1+'① 자동화 가정'!C20)^(1/12)</f>
        <v>37126.150214731933</v>
      </c>
      <c r="H56" s="75">
        <f t="shared" si="1"/>
        <v>146014.75136150731</v>
      </c>
      <c r="I56" s="70">
        <f>H56*'① 자동화 가정'!C18</f>
        <v>204420651.90611023</v>
      </c>
      <c r="J56" s="107">
        <f t="shared" si="2"/>
        <v>5784413858.7504101</v>
      </c>
    </row>
    <row r="57" spans="2:10">
      <c r="B57" s="106">
        <v>53</v>
      </c>
      <c r="C57" s="106">
        <v>5</v>
      </c>
      <c r="D57" s="58">
        <f>ROUND(D56*(1+('① 자동화 가정'!C14-'① 자동화 가정'!C15)/12),0)</f>
        <v>563</v>
      </c>
      <c r="E57" s="75">
        <f>E56*'① 자동화 가정'!C38^(1/12)*(1+'① 자동화 가정'!C19)^(1/12)</f>
        <v>61570.647739731998</v>
      </c>
      <c r="F57" s="75">
        <f>F56*'① 자동화 가정'!C38^(1/12)*(1+'① 자동화 가정'!C19)^(1/12)*(1+'① 자동화 가정'!C20)^(1/12)</f>
        <v>50703.37913512982</v>
      </c>
      <c r="G57" s="75">
        <f>G56*'① 자동화 가정'!C38^(1/12)*(1+'① 자동화 가정'!C19)^(1/12)*(1+'① 자동화 가정'!C20)^(1/12)</f>
        <v>38332.203210547261</v>
      </c>
      <c r="H57" s="75">
        <f t="shared" si="1"/>
        <v>150606.23008540907</v>
      </c>
      <c r="I57" s="70">
        <f>H57*'① 자동화 가정'!C18</f>
        <v>210848722.1195727</v>
      </c>
      <c r="J57" s="107">
        <f t="shared" si="2"/>
        <v>5995262580.8699827</v>
      </c>
    </row>
    <row r="58" spans="2:10">
      <c r="B58" s="106">
        <v>54</v>
      </c>
      <c r="C58" s="106">
        <v>5</v>
      </c>
      <c r="D58" s="58">
        <f>ROUND(D57*(1+('① 자동화 가정'!C14-'① 자동화 가정'!C15)/12),0)</f>
        <v>561</v>
      </c>
      <c r="E58" s="75">
        <f>E57*'① 자동화 가정'!C38^(1/12)*(1+'① 자동화 가정'!C19)^(1/12)</f>
        <v>63414.389833054651</v>
      </c>
      <c r="F58" s="75">
        <f>F57*'① 자동화 가정'!C38^(1/12)*(1+'① 자동화 가정'!C19)^(1/12)*(1+'① 자동화 가정'!C20)^(1/12)</f>
        <v>52350.492071704059</v>
      </c>
      <c r="G58" s="75">
        <f>G57*'① 자동화 가정'!C38^(1/12)*(1+'① 자동화 가정'!C19)^(1/12)*(1+'① 자동화 가정'!C20)^(1/12)</f>
        <v>39577.435162982176</v>
      </c>
      <c r="H58" s="75">
        <f t="shared" si="1"/>
        <v>155342.31706774089</v>
      </c>
      <c r="I58" s="70">
        <f>H58*'① 자동화 가정'!C18</f>
        <v>217479243.89483726</v>
      </c>
      <c r="J58" s="107">
        <f t="shared" si="2"/>
        <v>6212741824.7648201</v>
      </c>
    </row>
    <row r="59" spans="2:10">
      <c r="B59" s="106">
        <v>55</v>
      </c>
      <c r="C59" s="106">
        <v>5</v>
      </c>
      <c r="D59" s="58">
        <f>ROUND(D58*(1+('① 자동화 가정'!C14-'① 자동화 가정'!C15)/12),0)</f>
        <v>559</v>
      </c>
      <c r="E59" s="75">
        <f>E58*'① 자동화 가정'!C38^(1/12)*(1+'① 자동화 가정'!C19)^(1/12)</f>
        <v>65313.343054268305</v>
      </c>
      <c r="F59" s="75">
        <f>F58*'① 자동화 가정'!C38^(1/12)*(1+'① 자동화 가정'!C19)^(1/12)*(1+'① 자동화 가정'!C20)^(1/12)</f>
        <v>54051.11191594613</v>
      </c>
      <c r="G59" s="75">
        <f>G58*'① 자동화 가정'!C38^(1/12)*(1+'① 자동화 가정'!C19)^(1/12)*(1+'① 자동화 가정'!C20)^(1/12)</f>
        <v>40863.118811001805</v>
      </c>
      <c r="H59" s="75">
        <f t="shared" si="1"/>
        <v>160227.57378121623</v>
      </c>
      <c r="I59" s="70">
        <f>H59*'① 자동화 가정'!C18</f>
        <v>224318603.29370272</v>
      </c>
      <c r="J59" s="107">
        <f t="shared" si="2"/>
        <v>6437060428.0585232</v>
      </c>
    </row>
    <row r="60" spans="2:10">
      <c r="B60" s="106">
        <v>56</v>
      </c>
      <c r="C60" s="106">
        <v>5</v>
      </c>
      <c r="D60" s="58">
        <f>ROUND(D59*(1+('① 자동화 가정'!C14-'① 자동화 가정'!C15)/12),0)</f>
        <v>557</v>
      </c>
      <c r="E60" s="75">
        <f>E59*'① 자동화 가정'!C38^(1/12)*(1+'① 자동화 가정'!C19)^(1/12)</f>
        <v>67269.160708709984</v>
      </c>
      <c r="F60" s="75">
        <f>F59*'① 자동화 가정'!C38^(1/12)*(1+'① 자동화 가정'!C19)^(1/12)*(1+'① 자동화 가정'!C20)^(1/12)</f>
        <v>55806.976854172586</v>
      </c>
      <c r="G60" s="75">
        <f>G59*'① 자동화 가정'!C38^(1/12)*(1+'① 자동화 가정'!C19)^(1/12)*(1+'① 자동화 가정'!C20)^(1/12)</f>
        <v>42190.568238839609</v>
      </c>
      <c r="H60" s="75">
        <f t="shared" si="1"/>
        <v>165266.70580172219</v>
      </c>
      <c r="I60" s="70">
        <f>H60*'① 자동화 가정'!C18</f>
        <v>231373388.12241107</v>
      </c>
      <c r="J60" s="107">
        <f t="shared" si="2"/>
        <v>6668433816.180934</v>
      </c>
    </row>
    <row r="61" spans="2:10">
      <c r="B61" s="106">
        <v>57</v>
      </c>
      <c r="C61" s="106">
        <v>5</v>
      </c>
      <c r="D61" s="58">
        <f>ROUND(D60*(1+('① 자동화 가정'!C14-'① 자동화 가정'!C15)/12),0)</f>
        <v>555</v>
      </c>
      <c r="E61" s="75">
        <f>E60*'① 자동화 가정'!C38^(1/12)*(1+'① 자동화 가정'!C19)^(1/12)</f>
        <v>69283.545610187954</v>
      </c>
      <c r="F61" s="75">
        <f>F60*'① 자동화 가정'!C38^(1/12)*(1+'① 자동화 가정'!C19)^(1/12)*(1+'① 자동화 가정'!C20)^(1/12)</f>
        <v>57619.881538150934</v>
      </c>
      <c r="G61" s="75">
        <f>G60*'① 자동화 가정'!C38^(1/12)*(1+'① 자동화 가정'!C19)^(1/12)*(1+'① 자동화 가정'!C20)^(1/12)</f>
        <v>43561.140219109519</v>
      </c>
      <c r="H61" s="75">
        <f t="shared" si="1"/>
        <v>170464.56736744841</v>
      </c>
      <c r="I61" s="70">
        <f>H61*'① 자동화 가정'!C18</f>
        <v>238650394.31442779</v>
      </c>
      <c r="J61" s="107">
        <f t="shared" si="2"/>
        <v>6907084210.4953613</v>
      </c>
    </row>
    <row r="62" spans="2:10">
      <c r="B62" s="106">
        <v>58</v>
      </c>
      <c r="C62" s="106">
        <v>5</v>
      </c>
      <c r="D62" s="58">
        <f>ROUND(D61*(1+('① 자동화 가정'!C14-'① 자동화 가정'!C15)/12),0)</f>
        <v>553</v>
      </c>
      <c r="E62" s="75">
        <f>E61*'① 자동화 가정'!C38^(1/12)*(1+'① 자동화 가정'!C19)^(1/12)</f>
        <v>71358.251563520185</v>
      </c>
      <c r="F62" s="75">
        <f>F61*'① 자동화 가정'!C38^(1/12)*(1+'① 자동화 가정'!C19)^(1/12)*(1+'① 자동화 가정'!C20)^(1/12)</f>
        <v>59491.678919395061</v>
      </c>
      <c r="G62" s="75">
        <f>G61*'① 자동화 가정'!C38^(1/12)*(1+'① 자동화 가정'!C19)^(1/12)*(1+'① 자동화 가정'!C20)^(1/12)</f>
        <v>44976.235599549516</v>
      </c>
      <c r="H62" s="75">
        <f t="shared" si="1"/>
        <v>175826.16608246477</v>
      </c>
      <c r="I62" s="70">
        <f>H62*'① 자동화 가정'!C18</f>
        <v>246156632.51545069</v>
      </c>
      <c r="J62" s="107">
        <f t="shared" si="2"/>
        <v>7153240843.0108118</v>
      </c>
    </row>
    <row r="63" spans="2:10">
      <c r="B63" s="106">
        <v>59</v>
      </c>
      <c r="C63" s="106">
        <v>5</v>
      </c>
      <c r="D63" s="58">
        <f>ROUND(D62*(1+('① 자동화 가정'!C14-'① 자동화 가정'!C15)/12),0)</f>
        <v>551</v>
      </c>
      <c r="E63" s="75">
        <f>E62*'① 자동화 가정'!C38^(1/12)*(1+'① 자동화 가정'!C19)^(1/12)</f>
        <v>73495.084891467603</v>
      </c>
      <c r="F63" s="75">
        <f>F62*'① 자동화 가정'!C38^(1/12)*(1+'① 자동화 가정'!C19)^(1/12)*(1+'① 자동화 가정'!C20)^(1/12)</f>
        <v>61424.282143048149</v>
      </c>
      <c r="G63" s="75">
        <f>G62*'① 자동화 가정'!C38^(1/12)*(1+'① 자동화 가정'!C19)^(1/12)*(1+'① 자동화 가정'!C20)^(1/12)</f>
        <v>46437.300734813885</v>
      </c>
      <c r="H63" s="75">
        <f t="shared" si="1"/>
        <v>181356.66776932962</v>
      </c>
      <c r="I63" s="70">
        <f>H63*'① 자동화 가정'!C18</f>
        <v>253899334.87706149</v>
      </c>
      <c r="J63" s="107">
        <f t="shared" si="2"/>
        <v>7407140177.8878736</v>
      </c>
    </row>
    <row r="64" spans="2:10">
      <c r="B64" s="106">
        <v>60</v>
      </c>
      <c r="C64" s="106">
        <v>5</v>
      </c>
      <c r="D64" s="58">
        <f>ROUND(D63*(1+('① 자동화 가정'!C14-'① 자동화 가정'!C15)/12),0)</f>
        <v>549</v>
      </c>
      <c r="E64" s="75">
        <f>E63*'① 자동화 가정'!C38^(1/12)*(1+'① 자동화 가정'!C19)^(1/12)</f>
        <v>75695.906007391604</v>
      </c>
      <c r="F64" s="75">
        <f>F63*'① 자동화 가정'!C38^(1/12)*(1+'① 자동화 가정'!C19)^(1/12)*(1+'① 자동화 가정'!C20)^(1/12)</f>
        <v>63419.666503289009</v>
      </c>
      <c r="G64" s="75">
        <f>G63*'① 자동화 가정'!C38^(1/12)*(1+'① 자동화 가정'!C19)^(1/12)*(1+'① 자동화 가정'!C20)^(1/12)</f>
        <v>47945.828964777684</v>
      </c>
      <c r="H64" s="75">
        <f t="shared" si="1"/>
        <v>187061.40147545829</v>
      </c>
      <c r="I64" s="70">
        <f>H64*'① 자동화 가정'!C18</f>
        <v>261885962.06564161</v>
      </c>
      <c r="J64" s="107">
        <f t="shared" si="2"/>
        <v>7669026139.9535151</v>
      </c>
    </row>
  </sheetData>
  <mergeCells count="2">
    <mergeCell ref="B1:J1"/>
    <mergeCell ref="B2:J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7"/>
  <sheetViews>
    <sheetView showGridLines="0" zoomScale="125" zoomScaleNormal="100" workbookViewId="0"/>
  </sheetViews>
  <sheetFormatPr baseColWidth="10" defaultColWidth="8.6640625" defaultRowHeight="15" customHeight="1"/>
  <cols>
    <col min="1" max="1" width="2" customWidth="1"/>
    <col min="2" max="2" width="36" customWidth="1"/>
    <col min="3" max="3" width="16.5" bestFit="1" customWidth="1"/>
    <col min="4" max="4" width="14" customWidth="1"/>
    <col min="5" max="5" width="16" customWidth="1"/>
  </cols>
  <sheetData>
    <row r="1" spans="2:10" ht="31.5" customHeight="1">
      <c r="B1" s="1" t="s">
        <v>184</v>
      </c>
      <c r="C1" s="1"/>
      <c r="D1" s="1"/>
      <c r="E1" s="1"/>
      <c r="F1" s="1"/>
      <c r="G1" s="1"/>
      <c r="H1" s="1"/>
      <c r="I1" s="1"/>
      <c r="J1" s="1"/>
    </row>
    <row r="2" spans="2:10" ht="18" customHeight="1">
      <c r="B2" s="3" t="s">
        <v>185</v>
      </c>
      <c r="C2" s="3"/>
      <c r="D2" s="3"/>
      <c r="E2" s="3"/>
      <c r="F2" s="3"/>
      <c r="G2" s="3"/>
      <c r="H2" s="3"/>
      <c r="I2" s="3"/>
      <c r="J2" s="3"/>
    </row>
    <row r="3" spans="2:10" ht="6" customHeight="1"/>
    <row r="4" spans="2:10" ht="18" customHeight="1">
      <c r="B4" s="3" t="s">
        <v>186</v>
      </c>
      <c r="C4" s="3"/>
      <c r="D4" s="3"/>
      <c r="E4" s="3"/>
      <c r="F4" s="3"/>
      <c r="G4" s="3"/>
      <c r="H4" s="3"/>
      <c r="I4" s="3"/>
      <c r="J4" s="3"/>
    </row>
    <row r="5" spans="2:10">
      <c r="B5" s="5" t="s">
        <v>13</v>
      </c>
      <c r="C5" s="5" t="s">
        <v>187</v>
      </c>
      <c r="D5" s="5" t="s">
        <v>188</v>
      </c>
    </row>
    <row r="6" spans="2:10" ht="28">
      <c r="B6" s="13" t="s">
        <v>189</v>
      </c>
      <c r="C6" s="17">
        <v>0</v>
      </c>
      <c r="D6" s="15" t="s">
        <v>190</v>
      </c>
    </row>
    <row r="7" spans="2:10" ht="28">
      <c r="B7" s="13" t="s">
        <v>191</v>
      </c>
      <c r="C7" s="17">
        <v>0</v>
      </c>
      <c r="D7" s="15" t="s">
        <v>192</v>
      </c>
    </row>
    <row r="8" spans="2:10" ht="28">
      <c r="B8" s="16" t="s">
        <v>193</v>
      </c>
      <c r="C8" s="17">
        <v>500000</v>
      </c>
      <c r="D8" s="15" t="s">
        <v>194</v>
      </c>
    </row>
    <row r="9" spans="2:10" ht="28">
      <c r="B9" s="16" t="s">
        <v>195</v>
      </c>
      <c r="C9" s="17">
        <v>240000</v>
      </c>
      <c r="D9" s="14" t="s">
        <v>196</v>
      </c>
    </row>
    <row r="10" spans="2:10" ht="28">
      <c r="B10" s="16" t="s">
        <v>197</v>
      </c>
      <c r="C10" s="17">
        <v>100000</v>
      </c>
      <c r="D10" s="14" t="s">
        <v>198</v>
      </c>
    </row>
    <row r="11" spans="2:10" ht="28">
      <c r="B11" s="16" t="s">
        <v>199</v>
      </c>
      <c r="C11" s="17">
        <v>1000000</v>
      </c>
      <c r="D11" s="15" t="s">
        <v>200</v>
      </c>
    </row>
    <row r="12" spans="2:10" ht="28">
      <c r="B12" s="16" t="s">
        <v>201</v>
      </c>
      <c r="C12" s="17">
        <v>160000</v>
      </c>
      <c r="D12" s="15" t="s">
        <v>202</v>
      </c>
    </row>
    <row r="13" spans="2:10">
      <c r="B13" s="36" t="s">
        <v>203</v>
      </c>
      <c r="C13" s="45">
        <f>SUM(C6:C12)</f>
        <v>2000000</v>
      </c>
    </row>
    <row r="14" spans="2:10" ht="6" customHeight="1"/>
    <row r="15" spans="2:10" ht="18" customHeight="1">
      <c r="B15" s="3" t="s">
        <v>204</v>
      </c>
      <c r="C15" s="3"/>
      <c r="D15" s="3"/>
      <c r="E15" s="3"/>
      <c r="F15" s="3"/>
      <c r="G15" s="3"/>
      <c r="H15" s="3"/>
      <c r="I15" s="3"/>
      <c r="J15" s="3"/>
    </row>
    <row r="16" spans="2:10">
      <c r="B16" s="5" t="s">
        <v>119</v>
      </c>
      <c r="C16" s="5" t="s">
        <v>14</v>
      </c>
      <c r="D16" s="5" t="s">
        <v>15</v>
      </c>
    </row>
    <row r="17" spans="2:10">
      <c r="B17" s="16" t="s">
        <v>205</v>
      </c>
      <c r="C17" s="108">
        <f>C13</f>
        <v>2000000</v>
      </c>
      <c r="D17" s="15" t="s">
        <v>206</v>
      </c>
    </row>
    <row r="18" spans="2:10" ht="28">
      <c r="B18" s="13" t="s">
        <v>207</v>
      </c>
      <c r="C18" s="108">
        <f>'② 1년차 월별 시뮬'!C36</f>
        <v>8885694.6086999997</v>
      </c>
      <c r="D18" s="14" t="s">
        <v>208</v>
      </c>
    </row>
    <row r="19" spans="2:10">
      <c r="B19" s="16" t="s">
        <v>209</v>
      </c>
      <c r="C19" s="109">
        <f>IFERROR(CEILING(C13/C18,1),"-")</f>
        <v>1</v>
      </c>
      <c r="D19" s="15" t="s">
        <v>210</v>
      </c>
    </row>
    <row r="20" spans="2:10">
      <c r="B20" s="13" t="s">
        <v>211</v>
      </c>
      <c r="C20" s="108">
        <f>'③ 5년 연간 시뮬'!C8</f>
        <v>565130177.11332011</v>
      </c>
      <c r="D20" s="14" t="s">
        <v>212</v>
      </c>
    </row>
    <row r="21" spans="2:10">
      <c r="B21" s="13" t="s">
        <v>213</v>
      </c>
      <c r="C21" s="110">
        <f>IF(C13&gt;0,(C20-C13)/C13,9999)</f>
        <v>281.56508855666004</v>
      </c>
      <c r="D21" s="14" t="s">
        <v>214</v>
      </c>
    </row>
    <row r="22" spans="2:10">
      <c r="B22" s="13" t="s">
        <v>215</v>
      </c>
      <c r="C22" s="108">
        <f>'③ 5년 연간 시뮬'!G9</f>
        <v>6066902190.2981606</v>
      </c>
      <c r="D22" s="14" t="s">
        <v>216</v>
      </c>
    </row>
    <row r="23" spans="2:10">
      <c r="B23" s="13" t="s">
        <v>217</v>
      </c>
      <c r="C23" s="110">
        <f>IF(C13&gt;0,(C22-C13)/C13,9999)</f>
        <v>3032.4510951490802</v>
      </c>
      <c r="D23" s="14" t="s">
        <v>218</v>
      </c>
    </row>
    <row r="24" spans="2:10" ht="28">
      <c r="B24" s="16" t="s">
        <v>219</v>
      </c>
      <c r="C24" s="111">
        <v>2</v>
      </c>
      <c r="D24" s="15" t="s">
        <v>220</v>
      </c>
    </row>
    <row r="25" spans="2:10">
      <c r="B25" s="16" t="s">
        <v>221</v>
      </c>
      <c r="C25" s="112">
        <f>IF(C24&gt;0,C20/12/C24,0)</f>
        <v>23547090.713055003</v>
      </c>
      <c r="D25" s="14" t="s">
        <v>222</v>
      </c>
    </row>
    <row r="26" spans="2:10" ht="6" customHeight="1"/>
    <row r="27" spans="2:10" ht="18" customHeight="1">
      <c r="B27" s="3" t="s">
        <v>223</v>
      </c>
      <c r="C27" s="3"/>
      <c r="D27" s="3"/>
      <c r="E27" s="3"/>
      <c r="F27" s="3"/>
      <c r="G27" s="3"/>
      <c r="H27" s="3"/>
      <c r="I27" s="3"/>
      <c r="J27" s="3"/>
    </row>
    <row r="28" spans="2:10">
      <c r="B28" s="5" t="s">
        <v>13</v>
      </c>
      <c r="C28" s="5" t="s">
        <v>224</v>
      </c>
      <c r="D28" s="5" t="s">
        <v>225</v>
      </c>
      <c r="E28" s="5" t="s">
        <v>226</v>
      </c>
    </row>
    <row r="29" spans="2:10">
      <c r="B29" s="13" t="s">
        <v>227</v>
      </c>
      <c r="C29" s="113" t="s">
        <v>228</v>
      </c>
      <c r="D29" s="92" t="s">
        <v>229</v>
      </c>
      <c r="E29" s="92" t="s">
        <v>230</v>
      </c>
    </row>
    <row r="30" spans="2:10">
      <c r="B30" s="7" t="s">
        <v>231</v>
      </c>
      <c r="C30" s="114" t="s">
        <v>228</v>
      </c>
      <c r="D30" s="89" t="s">
        <v>232</v>
      </c>
      <c r="E30" s="89" t="s">
        <v>230</v>
      </c>
    </row>
    <row r="31" spans="2:10">
      <c r="B31" s="16" t="s">
        <v>233</v>
      </c>
      <c r="C31" s="113" t="s">
        <v>228</v>
      </c>
      <c r="D31" s="92" t="s">
        <v>234</v>
      </c>
      <c r="E31" s="92" t="s">
        <v>230</v>
      </c>
    </row>
    <row r="32" spans="2:10">
      <c r="B32" s="87" t="s">
        <v>235</v>
      </c>
      <c r="C32" s="114" t="s">
        <v>228</v>
      </c>
      <c r="D32" s="89" t="s">
        <v>236</v>
      </c>
      <c r="E32" s="89" t="s">
        <v>230</v>
      </c>
    </row>
    <row r="33" spans="2:5">
      <c r="B33" s="13" t="s">
        <v>237</v>
      </c>
      <c r="C33" s="113" t="s">
        <v>228</v>
      </c>
      <c r="D33" s="92" t="s">
        <v>232</v>
      </c>
      <c r="E33" s="92" t="s">
        <v>230</v>
      </c>
    </row>
    <row r="34" spans="2:5">
      <c r="B34" s="87" t="s">
        <v>238</v>
      </c>
      <c r="C34" s="114" t="s">
        <v>228</v>
      </c>
      <c r="D34" s="89" t="s">
        <v>229</v>
      </c>
      <c r="E34" s="89" t="s">
        <v>239</v>
      </c>
    </row>
    <row r="35" spans="2:5">
      <c r="B35" s="16" t="s">
        <v>240</v>
      </c>
      <c r="C35" s="113" t="s">
        <v>228</v>
      </c>
      <c r="D35" s="92" t="s">
        <v>229</v>
      </c>
      <c r="E35" s="92" t="s">
        <v>241</v>
      </c>
    </row>
    <row r="36" spans="2:5">
      <c r="B36" s="7" t="s">
        <v>242</v>
      </c>
      <c r="C36" s="114" t="s">
        <v>228</v>
      </c>
      <c r="D36" s="89" t="s">
        <v>243</v>
      </c>
      <c r="E36" s="89" t="s">
        <v>244</v>
      </c>
    </row>
    <row r="37" spans="2:5" ht="42">
      <c r="B37" s="115" t="s">
        <v>245</v>
      </c>
      <c r="C37" s="116" t="s">
        <v>246</v>
      </c>
      <c r="D37" s="117" t="s">
        <v>247</v>
      </c>
    </row>
  </sheetData>
  <mergeCells count="5">
    <mergeCell ref="B1:J1"/>
    <mergeCell ref="B2:J2"/>
    <mergeCell ref="B4:J4"/>
    <mergeCell ref="B15:J15"/>
    <mergeCell ref="B27:J27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① 자동화 가정</vt:lpstr>
      <vt:lpstr>② 1년차 월별 시뮬</vt:lpstr>
      <vt:lpstr>③ 5년 연간 시뮬</vt:lpstr>
      <vt:lpstr>④ 60개월 캐시플로우</vt:lpstr>
      <vt:lpstr>⑤ ROI &amp; 손익분기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Monica Price</cp:lastModifiedBy>
  <cp:revision>0</cp:revision>
  <cp:lastPrinted>2026-02-22T12:51:06Z</cp:lastPrinted>
  <dcterms:created xsi:type="dcterms:W3CDTF">2026-02-22T12:46:18Z</dcterms:created>
  <dcterms:modified xsi:type="dcterms:W3CDTF">2026-02-22T14:04:28Z</dcterms:modified>
  <dc:language>en-US</dc:language>
</cp:coreProperties>
</file>