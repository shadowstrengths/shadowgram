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⑤ 통합 대시보드" sheetId="1" state="visible" r:id="rId3"/>
    <sheet name="④ TEAM" sheetId="2" state="visible" r:id="rId4"/>
    <sheet name="③ loveTWO" sheetId="3" state="visible" r:id="rId5"/>
    <sheet name="② SOLO" sheetId="4" state="visible" r:id="rId6"/>
    <sheet name="① 가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<sst xmlns="http://schemas.openxmlformats.org/spreadsheetml/2006/main" count="240" uniqueCount="181">
  <si>
    <r>
      <rPr>
        <b val="true"/>
        <sz val="14"/>
        <color rgb="FFFFFFFF"/>
        <rFont val="Arial"/>
        <family val="0"/>
        <charset val="1"/>
      </rPr>
      <t xml:space="preserve">ShiningShadow </t>
    </r>
    <r>
      <rPr>
        <b val="true"/>
        <sz val="14"/>
        <color rgb="FFFFFFFF"/>
        <rFont val="Noto Sans CJK KR"/>
        <family val="2"/>
      </rPr>
      <t xml:space="preserve">브랜드 생태계 — 통합 수익 대시보드 </t>
    </r>
    <r>
      <rPr>
        <b val="true"/>
        <sz val="14"/>
        <color rgb="FFFFFFFF"/>
        <rFont val="Arial"/>
        <family val="0"/>
        <charset val="1"/>
      </rPr>
      <t xml:space="preserve">(v2 </t>
    </r>
    <r>
      <rPr>
        <b val="true"/>
        <sz val="14"/>
        <color rgb="FFFFFFFF"/>
        <rFont val="Noto Sans CJK KR"/>
        <family val="2"/>
      </rPr>
      <t xml:space="preserve">공격형 시나리오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</si>
  <si>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1A2030"/>
        <rFont val="Arial"/>
        <family val="0"/>
        <charset val="1"/>
      </rPr>
      <t xml:space="preserve">Shadowgram(</t>
    </r>
    <r>
      <rPr>
        <i val="true"/>
        <sz val="10"/>
        <color rgb="FF1A2030"/>
        <rFont val="Noto Sans CJK KR"/>
        <family val="2"/>
      </rPr>
      <t xml:space="preserve">검사도구 공통</t>
    </r>
    <r>
      <rPr>
        <i val="true"/>
        <sz val="10"/>
        <color rgb="FF1A2030"/>
        <rFont val="Arial"/>
        <family val="0"/>
        <charset val="1"/>
      </rPr>
      <t xml:space="preserve">) → SOLO(1</t>
    </r>
    <r>
      <rPr>
        <i val="true"/>
        <sz val="10"/>
        <color rgb="FF1A2030"/>
        <rFont val="Noto Sans CJK KR"/>
        <family val="2"/>
      </rPr>
      <t xml:space="preserve">인</t>
    </r>
    <r>
      <rPr>
        <i val="true"/>
        <sz val="10"/>
        <color rgb="FF1A2030"/>
        <rFont val="Arial"/>
        <family val="0"/>
        <charset val="1"/>
      </rPr>
      <t xml:space="preserve">) + loveTWO(2</t>
    </r>
    <r>
      <rPr>
        <i val="true"/>
        <sz val="10"/>
        <color rgb="FF1A2030"/>
        <rFont val="Noto Sans CJK KR"/>
        <family val="2"/>
      </rPr>
      <t xml:space="preserve">인 웹앱</t>
    </r>
    <r>
      <rPr>
        <i val="true"/>
        <sz val="10"/>
        <color rgb="FF1A2030"/>
        <rFont val="Arial"/>
        <family val="0"/>
        <charset val="1"/>
      </rPr>
      <t xml:space="preserve">) + TEAM(</t>
    </r>
    <r>
      <rPr>
        <i val="true"/>
        <sz val="10"/>
        <color rgb="FF1A2030"/>
        <rFont val="Noto Sans CJK KR"/>
        <family val="2"/>
      </rPr>
      <t xml:space="preserve">조직 </t>
    </r>
    <r>
      <rPr>
        <i val="true"/>
        <sz val="10"/>
        <color rgb="FF1A2030"/>
        <rFont val="Arial"/>
        <family val="0"/>
        <charset val="1"/>
      </rPr>
      <t xml:space="preserve">B2B)  |  5</t>
    </r>
    <r>
      <rPr>
        <i val="true"/>
        <sz val="10"/>
        <color rgb="FF1A2030"/>
        <rFont val="Noto Sans CJK KR"/>
        <family val="2"/>
      </rPr>
      <t xml:space="preserve">년 시뮬레이션</t>
    </r>
  </si>
  <si>
    <r>
      <rPr>
        <b val="true"/>
        <sz val="10"/>
        <color rgb="FFFFFFFF"/>
        <rFont val="Arial"/>
        <family val="0"/>
        <charset val="1"/>
      </rPr>
      <t xml:space="preserve">🌑 SHADOWGRAM (</t>
    </r>
    <r>
      <rPr>
        <b val="true"/>
        <sz val="10"/>
        <color rgb="FFFFFFFF"/>
        <rFont val="Noto Sans CJK KR"/>
        <family val="2"/>
      </rPr>
      <t xml:space="preserve">검사도구 — 모든 제품의 공통 퍼널 입구</t>
    </r>
    <r>
      <rPr>
        <b val="true"/>
        <sz val="10"/>
        <color rgb="FFFFFFFF"/>
        <rFont val="Arial"/>
        <family val="0"/>
        <charset val="1"/>
      </rPr>
      <t xml:space="preserve">)   →   ① SOLO   |   ② loveTWO   |   ③ TEAM   →   leftnoon (</t>
    </r>
    <r>
      <rPr>
        <b val="true"/>
        <sz val="10"/>
        <color rgb="FFFFFFFF"/>
        <rFont val="Noto Sans CJK KR"/>
        <family val="2"/>
      </rPr>
      <t xml:space="preserve">커뮤니티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</si>
  <si>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브랜드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</si>
  <si>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</si>
  <si>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</si>
  <si>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</si>
  <si>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</si>
  <si>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</si>
  <si>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KR"/>
        <family val="2"/>
      </rPr>
      <t xml:space="preserve">년누적</t>
    </r>
  </si>
  <si>
    <t xml:space="preserve">비중</t>
  </si>
  <si>
    <r>
      <rPr>
        <b val="true"/>
        <sz val="10"/>
        <color rgb="FF2E4A7C"/>
        <rFont val="Arial"/>
        <family val="0"/>
        <charset val="1"/>
      </rPr>
      <t xml:space="preserve">① SOLO  (1</t>
    </r>
    <r>
      <rPr>
        <b val="true"/>
        <sz val="10"/>
        <color rgb="FF2E4A7C"/>
        <rFont val="Noto Sans CJK KR"/>
        <family val="2"/>
      </rPr>
      <t xml:space="preserve">인</t>
    </r>
    <r>
      <rPr>
        <b val="true"/>
        <sz val="10"/>
        <color rgb="FF2E4A7C"/>
        <rFont val="Arial"/>
        <family val="0"/>
        <charset val="1"/>
      </rPr>
      <t xml:space="preserve">·Hotmart)</t>
    </r>
  </si>
  <si>
    <r>
      <rPr>
        <b val="true"/>
        <sz val="10"/>
        <color rgb="FF7B3F00"/>
        <rFont val="Arial"/>
        <family val="0"/>
        <charset val="1"/>
      </rPr>
      <t xml:space="preserve">② loveTWO  (2</t>
    </r>
    <r>
      <rPr>
        <b val="true"/>
        <sz val="10"/>
        <color rgb="FF7B3F00"/>
        <rFont val="Noto Sans CJK KR"/>
        <family val="2"/>
      </rPr>
      <t xml:space="preserve">인</t>
    </r>
    <r>
      <rPr>
        <b val="true"/>
        <sz val="10"/>
        <color rgb="FF7B3F00"/>
        <rFont val="Arial"/>
        <family val="0"/>
        <charset val="1"/>
      </rPr>
      <t xml:space="preserve">·</t>
    </r>
    <r>
      <rPr>
        <b val="true"/>
        <sz val="10"/>
        <color rgb="FF7B3F00"/>
        <rFont val="Noto Sans CJK KR"/>
        <family val="2"/>
      </rPr>
      <t xml:space="preserve">웹앱</t>
    </r>
    <r>
      <rPr>
        <b val="true"/>
        <sz val="10"/>
        <color rgb="FF7B3F00"/>
        <rFont val="Arial"/>
        <family val="0"/>
        <charset val="1"/>
      </rPr>
      <t xml:space="preserve">)</t>
    </r>
  </si>
  <si>
    <r>
      <rPr>
        <b val="true"/>
        <sz val="10"/>
        <color rgb="FF1B5E20"/>
        <rFont val="Arial"/>
        <family val="0"/>
        <charset val="1"/>
      </rPr>
      <t xml:space="preserve">③ TEAM  (</t>
    </r>
    <r>
      <rPr>
        <b val="true"/>
        <sz val="10"/>
        <color rgb="FF1B5E20"/>
        <rFont val="Noto Sans CJK KR"/>
        <family val="2"/>
      </rPr>
      <t xml:space="preserve">조직</t>
    </r>
    <r>
      <rPr>
        <b val="true"/>
        <sz val="10"/>
        <color rgb="FF1B5E20"/>
        <rFont val="Arial"/>
        <family val="0"/>
        <charset val="1"/>
      </rPr>
      <t xml:space="preserve">·B2B)</t>
    </r>
  </si>
  <si>
    <t xml:space="preserve">★ 생태계 연간 총 수익 (₩)</t>
  </si>
  <si>
    <t xml:space="preserve">월 평균 수익 (₩)</t>
  </si>
  <si>
    <t xml:space="preserve">민철 개입 ≈ 0 자동화</t>
  </si>
  <si>
    <t xml:space="preserve">핵심 KPI 지표</t>
  </si>
  <si>
    <t xml:space="preserve">지표</t>
  </si>
  <si>
    <t xml:space="preserve">비고</t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</si>
  <si>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파트너 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</si>
  <si>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SOLO T1 </t>
    </r>
    <r>
      <rPr>
        <sz val="10"/>
        <color rgb="FF000000"/>
        <rFont val="Noto Sans CJK KR"/>
        <family val="2"/>
      </rPr>
      <t xml:space="preserve">연판매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</si>
  <si>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이메일</t>
    </r>
    <r>
      <rPr>
        <sz val="10"/>
        <color rgb="FF000000"/>
        <rFont val="Arial"/>
        <family val="0"/>
        <charset val="1"/>
      </rPr>
      <t xml:space="preserve">DB(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</si>
  <si>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구매자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</si>
  <si>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계약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</si>
  <si>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시장 &amp; 제품 타임라인</t>
  </si>
  <si>
    <t xml:space="preserve">연도</t>
  </si>
  <si>
    <t xml:space="preserve">SOLO</t>
  </si>
  <si>
    <t xml:space="preserve">loveTWO</t>
  </si>
  <si>
    <t xml:space="preserve">TEAM</t>
  </si>
  <si>
    <t xml:space="preserve">핵심 마일스톤</t>
  </si>
  <si>
    <r>
      <rPr>
        <sz val="9"/>
        <color rgb="FF000000"/>
        <rFont val="Arial"/>
        <family val="0"/>
        <charset val="1"/>
      </rPr>
      <t xml:space="preserve">ES+PT+EN </t>
    </r>
    <r>
      <rPr>
        <sz val="9"/>
        <color rgb="FF000000"/>
        <rFont val="Noto Sans CJK KR"/>
        <family val="2"/>
      </rPr>
      <t xml:space="preserve">동시
파트너</t>
    </r>
    <r>
      <rPr>
        <sz val="9"/>
        <color rgb="FF000000"/>
        <rFont val="Arial"/>
        <family val="0"/>
        <charset val="1"/>
      </rPr>
      <t xml:space="preserve">60</t>
    </r>
    <r>
      <rPr>
        <sz val="9"/>
        <color rgb="FF000000"/>
        <rFont val="Noto Sans CJK KR"/>
        <family val="2"/>
      </rPr>
      <t xml:space="preserve">명 런칭</t>
    </r>
  </si>
  <si>
    <t xml:space="preserve">이메일DB 캠페인
앱 바이럴 시작</t>
  </si>
  <si>
    <t xml:space="preserve">파일럿5건
케이스스터디</t>
  </si>
  <si>
    <r>
      <rPr>
        <b val="true"/>
        <sz val="10"/>
        <color rgb="FF2E4A7C"/>
        <rFont val="Arial"/>
        <family val="0"/>
        <charset val="1"/>
      </rPr>
      <t xml:space="preserve">SOLO 3</t>
    </r>
    <r>
      <rPr>
        <b val="true"/>
        <sz val="10"/>
        <color rgb="FF2E4A7C"/>
        <rFont val="Noto Sans CJK KR"/>
        <family val="2"/>
      </rPr>
      <t xml:space="preserve">언어 동시출시 </t>
    </r>
    <r>
      <rPr>
        <b val="true"/>
        <sz val="10"/>
        <color rgb="FF2E4A7C"/>
        <rFont val="Arial"/>
        <family val="0"/>
        <charset val="1"/>
      </rPr>
      <t xml:space="preserve">· loveTWO </t>
    </r>
    <r>
      <rPr>
        <b val="true"/>
        <sz val="10"/>
        <color rgb="FF2E4A7C"/>
        <rFont val="Noto Sans CJK KR"/>
        <family val="2"/>
      </rPr>
      <t xml:space="preserve">웹앱 베타</t>
    </r>
  </si>
  <si>
    <t xml:space="preserve">파트너 자동 확장
전환율 최적화</t>
  </si>
  <si>
    <r>
      <rPr>
        <sz val="9"/>
        <color rgb="FF000000"/>
        <rFont val="Arial"/>
        <family val="0"/>
        <charset val="1"/>
      </rPr>
      <t xml:space="preserve">DB 1.5</t>
    </r>
    <r>
      <rPr>
        <sz val="9"/>
        <color rgb="FF000000"/>
        <rFont val="Noto Sans CJK KR"/>
        <family val="2"/>
      </rPr>
      <t xml:space="preserve">만명</t>
    </r>
    <r>
      <rPr>
        <sz val="9"/>
        <color rgb="FF000000"/>
        <rFont val="Arial"/>
        <family val="0"/>
        <charset val="1"/>
      </rPr>
      <t xml:space="preserve">+
</t>
    </r>
    <r>
      <rPr>
        <sz val="9"/>
        <color rgb="FF000000"/>
        <rFont val="Noto Sans CJK KR"/>
        <family val="2"/>
      </rPr>
      <t xml:space="preserve">구매자 폭발적 증가</t>
    </r>
  </si>
  <si>
    <t xml:space="preserve">이론 논문 발표
15건 계약</t>
  </si>
  <si>
    <r>
      <rPr>
        <b val="true"/>
        <sz val="10"/>
        <color rgb="FF2E4A7C"/>
        <rFont val="Arial"/>
        <family val="0"/>
        <charset val="1"/>
      </rPr>
      <t xml:space="preserve">loveTWO </t>
    </r>
    <r>
      <rPr>
        <b val="true"/>
        <sz val="10"/>
        <color rgb="FF2E4A7C"/>
        <rFont val="Noto Sans CJK KR"/>
        <family val="2"/>
      </rPr>
      <t xml:space="preserve">바이럴 임계점 돌파</t>
    </r>
  </si>
  <si>
    <t xml:space="preserve">안정 성장
부록 번들 강화</t>
  </si>
  <si>
    <r>
      <rPr>
        <sz val="9"/>
        <color rgb="FF000000"/>
        <rFont val="Arial"/>
        <family val="0"/>
        <charset val="1"/>
      </rPr>
      <t xml:space="preserve">DB 3</t>
    </r>
    <r>
      <rPr>
        <sz val="9"/>
        <color rgb="FF000000"/>
        <rFont val="Noto Sans CJK KR"/>
        <family val="2"/>
      </rPr>
      <t xml:space="preserve">만명</t>
    </r>
    <r>
      <rPr>
        <sz val="9"/>
        <color rgb="FF000000"/>
        <rFont val="Arial"/>
        <family val="0"/>
        <charset val="1"/>
      </rPr>
      <t xml:space="preserve">+
</t>
    </r>
    <r>
      <rPr>
        <sz val="9"/>
        <color rgb="FF000000"/>
        <rFont val="Noto Sans CJK KR"/>
        <family val="2"/>
      </rPr>
      <t xml:space="preserve">영어권 확장</t>
    </r>
  </si>
  <si>
    <t xml:space="preserve">본격 B2B론칭
60건</t>
  </si>
  <si>
    <r>
      <rPr>
        <b val="true"/>
        <sz val="10"/>
        <color rgb="FF2E4A7C"/>
        <rFont val="Arial"/>
        <family val="0"/>
        <charset val="1"/>
      </rPr>
      <t xml:space="preserve">TEAM </t>
    </r>
    <r>
      <rPr>
        <b val="true"/>
        <sz val="10"/>
        <color rgb="FF2E4A7C"/>
        <rFont val="Noto Sans CJK KR"/>
        <family val="2"/>
      </rPr>
      <t xml:space="preserve">프리미엄 캐시카우 가동</t>
    </r>
  </si>
  <si>
    <t xml:space="preserve">영어권 파트너
본격 가동</t>
  </si>
  <si>
    <t xml:space="preserve">글로벌 커플
시장 안착</t>
  </si>
  <si>
    <r>
      <rPr>
        <sz val="9"/>
        <color rgb="FF000000"/>
        <rFont val="Arial"/>
        <family val="0"/>
        <charset val="1"/>
      </rPr>
      <t xml:space="preserve">150</t>
    </r>
    <r>
      <rPr>
        <sz val="9"/>
        <color rgb="FF000000"/>
        <rFont val="Noto Sans CJK KR"/>
        <family val="2"/>
      </rPr>
      <t xml:space="preserve">건
구독 모델 정착</t>
    </r>
  </si>
  <si>
    <r>
      <rPr>
        <b val="true"/>
        <sz val="10"/>
        <color rgb="FF2E4A7C"/>
        <rFont val="Arial"/>
        <family val="0"/>
        <charset val="1"/>
      </rPr>
      <t xml:space="preserve">3</t>
    </r>
    <r>
      <rPr>
        <b val="true"/>
        <sz val="10"/>
        <color rgb="FF2E4A7C"/>
        <rFont val="Noto Sans CJK KR"/>
        <family val="2"/>
      </rPr>
      <t xml:space="preserve">브랜드 시너지 완성</t>
    </r>
  </si>
  <si>
    <r>
      <rPr>
        <sz val="9"/>
        <color rgb="FF000000"/>
        <rFont val="Arial"/>
        <family val="0"/>
        <charset val="1"/>
      </rPr>
      <t xml:space="preserve">leftnoon </t>
    </r>
    <r>
      <rPr>
        <sz val="9"/>
        <color rgb="FF000000"/>
        <rFont val="Noto Sans CJK KR"/>
        <family val="2"/>
      </rPr>
      <t xml:space="preserve">연계
구독 확장</t>
    </r>
  </si>
  <si>
    <t xml:space="preserve">커뮤니티 입구
역할 강화</t>
  </si>
  <si>
    <r>
      <rPr>
        <sz val="9"/>
        <color rgb="FF000000"/>
        <rFont val="Arial"/>
        <family val="0"/>
        <charset val="1"/>
      </rPr>
      <t xml:space="preserve">300</t>
    </r>
    <r>
      <rPr>
        <sz val="9"/>
        <color rgb="FF000000"/>
        <rFont val="Noto Sans CJK KR"/>
        <family val="2"/>
      </rPr>
      <t xml:space="preserve">건
기업 레퍼런스 축적</t>
    </r>
  </si>
  <si>
    <t xml:space="preserve">기업 가치 $10M+ 목표</t>
  </si>
  <si>
    <t xml:space="preserve">★ 파란 텍스트=입력값  |  검은 텍스트=수식  |  초록 텍스트=타시트 연동  |  가정 시트(① 가정)에서 전체 가정 조정 가능</t>
  </si>
  <si>
    <r>
      <rPr>
        <b val="true"/>
        <sz val="13"/>
        <color rgb="FFFFFFFF"/>
        <rFont val="Arial"/>
        <family val="0"/>
        <charset val="1"/>
      </rPr>
      <t xml:space="preserve">④ TEAM — </t>
    </r>
    <r>
      <rPr>
        <b val="true"/>
        <sz val="13"/>
        <color rgb="FFFFFFFF"/>
        <rFont val="Noto Sans CJK KR"/>
        <family val="2"/>
      </rPr>
      <t xml:space="preserve">조직 심리 </t>
    </r>
    <r>
      <rPr>
        <b val="true"/>
        <sz val="13"/>
        <color rgb="FFFFFFFF"/>
        <rFont val="Arial"/>
        <family val="0"/>
        <charset val="1"/>
      </rPr>
      <t xml:space="preserve">B2B  |  2</t>
    </r>
    <r>
      <rPr>
        <b val="true"/>
        <sz val="13"/>
        <color rgb="FFFFFFFF"/>
        <rFont val="Noto Sans CJK KR"/>
        <family val="2"/>
      </rPr>
      <t xml:space="preserve">년 이론정교화 → </t>
    </r>
    <r>
      <rPr>
        <b val="true"/>
        <sz val="13"/>
        <color rgb="FFFFFFFF"/>
        <rFont val="Arial"/>
        <family val="0"/>
        <charset val="1"/>
      </rPr>
      <t xml:space="preserve">3</t>
    </r>
    <r>
      <rPr>
        <b val="true"/>
        <sz val="13"/>
        <color rgb="FFFFFFFF"/>
        <rFont val="Noto Sans CJK KR"/>
        <family val="2"/>
      </rPr>
      <t xml:space="preserve">년차 프리미엄 캐시카우</t>
    </r>
  </si>
  <si>
    <t xml:space="preserve">논문·백서·케이스스터디 축적(Y1~2) → 학문적 신뢰 기반 프리미엄 진단+워크숍+구독(Y3~5)</t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</si>
  <si>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</si>
  <si>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년합계</t>
    </r>
  </si>
  <si>
    <t xml:space="preserve">단위</t>
  </si>
  <si>
    <r>
      <rPr>
        <b val="true"/>
        <sz val="11"/>
        <color rgb="FFFFFFFF"/>
        <rFont val="Arial"/>
        <family val="0"/>
        <charset val="1"/>
      </rPr>
      <t xml:space="preserve">[ </t>
    </r>
    <r>
      <rPr>
        <b val="true"/>
        <sz val="11"/>
        <color rgb="FFFFFFFF"/>
        <rFont val="Noto Sans CJK KR"/>
        <family val="2"/>
      </rPr>
      <t xml:space="preserve">단계 </t>
    </r>
    <r>
      <rPr>
        <b val="true"/>
        <sz val="11"/>
        <color rgb="FFFFFFFF"/>
        <rFont val="Arial"/>
        <family val="0"/>
        <charset val="1"/>
      </rPr>
      <t xml:space="preserve">]  Y1~2: </t>
    </r>
    <r>
      <rPr>
        <b val="true"/>
        <sz val="11"/>
        <color rgb="FFFFFFFF"/>
        <rFont val="Noto Sans CJK KR"/>
        <family val="2"/>
      </rPr>
      <t xml:space="preserve">이론 정교화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KR"/>
        <family val="2"/>
      </rPr>
      <t xml:space="preserve">파일럿  →  </t>
    </r>
    <r>
      <rPr>
        <b val="true"/>
        <sz val="11"/>
        <color rgb="FFFFFFFF"/>
        <rFont val="Arial"/>
        <family val="0"/>
        <charset val="1"/>
      </rPr>
      <t xml:space="preserve">Y3: </t>
    </r>
    <r>
      <rPr>
        <b val="true"/>
        <sz val="11"/>
        <color rgb="FFFFFFFF"/>
        <rFont val="Noto Sans CJK KR"/>
        <family val="2"/>
      </rPr>
      <t xml:space="preserve">론칭  →  </t>
    </r>
    <r>
      <rPr>
        <b val="true"/>
        <sz val="11"/>
        <color rgb="FFFFFFFF"/>
        <rFont val="Arial"/>
        <family val="0"/>
        <charset val="1"/>
      </rPr>
      <t xml:space="preserve">Y4~5: </t>
    </r>
    <r>
      <rPr>
        <b val="true"/>
        <sz val="11"/>
        <color rgb="FFFFFFFF"/>
        <rFont val="Noto Sans CJK KR"/>
        <family val="2"/>
      </rPr>
      <t xml:space="preserve">스케일업</t>
    </r>
  </si>
  <si>
    <t xml:space="preserve">연간 계약 건수</t>
  </si>
  <si>
    <t xml:space="preserve">건/년</t>
  </si>
  <si>
    <r>
      <rPr>
        <b val="true"/>
        <sz val="11"/>
        <color rgb="FFFFFFFF"/>
        <rFont val="Arial"/>
        <family val="0"/>
        <charset val="1"/>
      </rPr>
      <t xml:space="preserve">B. TEAM </t>
    </r>
    <r>
      <rPr>
        <b val="true"/>
        <sz val="11"/>
        <color rgb="FFFFFFFF"/>
        <rFont val="Noto Sans CJK KR"/>
        <family val="2"/>
      </rPr>
      <t xml:space="preserve">오너 순수익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직판 계약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</si>
  <si>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 진단 수익(₩)</t>
  </si>
  <si>
    <r>
      <rPr>
        <sz val="10"/>
        <color rgb="FF000000"/>
        <rFont val="Arial"/>
        <family val="0"/>
        <charset val="1"/>
      </rPr>
      <t xml:space="preserve">₩/</t>
    </r>
    <r>
      <rPr>
        <sz val="10"/>
        <color rgb="FF000000"/>
        <rFont val="Noto Sans CJK KR"/>
        <family val="2"/>
      </rPr>
      <t xml:space="preserve">년</t>
    </r>
  </si>
  <si>
    <t xml:space="preserve">워크숍 패키지 수익(₩)</t>
  </si>
  <si>
    <t xml:space="preserve">연간 구독 수익(₩)</t>
  </si>
  <si>
    <r>
      <rPr>
        <b val="true"/>
        <sz val="10"/>
        <color rgb="FFFFFFFF"/>
        <rFont val="Arial"/>
        <family val="0"/>
        <charset val="1"/>
      </rPr>
      <t xml:space="preserve">★ TEAM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</si>
  <si>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③ loveTWO — 2</t>
    </r>
    <r>
      <rPr>
        <b val="true"/>
        <sz val="13"/>
        <color rgb="FFFFFFFF"/>
        <rFont val="Noto Sans CJK KR"/>
        <family val="2"/>
      </rPr>
      <t xml:space="preserve">인 바이럴 웹앱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Noto Sans CJK KR"/>
        <family val="2"/>
      </rPr>
      <t xml:space="preserve">이메일</t>
    </r>
    <r>
      <rPr>
        <b val="true"/>
        <sz val="13"/>
        <color rgb="FFFFFFFF"/>
        <rFont val="Arial"/>
        <family val="0"/>
        <charset val="1"/>
      </rPr>
      <t xml:space="preserve">DB </t>
    </r>
    <r>
      <rPr>
        <b val="true"/>
        <sz val="13"/>
        <color rgb="FFFFFFFF"/>
        <rFont val="Noto Sans CJK KR"/>
        <family val="2"/>
      </rPr>
      <t xml:space="preserve">자체 광고 </t>
    </r>
    <r>
      <rPr>
        <b val="true"/>
        <sz val="13"/>
        <color rgb="FFFFFFFF"/>
        <rFont val="Arial"/>
        <family val="0"/>
        <charset val="1"/>
      </rPr>
      <t xml:space="preserve">+ K-factor 1.4</t>
    </r>
  </si>
  <si>
    <t xml:space="preserve">파트너 채널 없음 → 이메일DB 직접 캠페인 + 앱 내 커플 공유 바이럴 → SOLO 역유입 선순환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</si>
  <si>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KR"/>
        <family val="2"/>
      </rPr>
      <t xml:space="preserve">이메일 </t>
    </r>
    <r>
      <rPr>
        <b val="true"/>
        <sz val="11"/>
        <color rgb="FFFFFFFF"/>
        <rFont val="Arial"/>
        <family val="0"/>
        <charset val="1"/>
      </rPr>
      <t xml:space="preserve">DB </t>
    </r>
    <r>
      <rPr>
        <b val="true"/>
        <sz val="11"/>
        <color rgb="FFFFFFFF"/>
        <rFont val="Noto Sans CJK KR"/>
        <family val="2"/>
      </rPr>
      <t xml:space="preserve">성장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바이럴 엔진 원천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</si>
  <si>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연말 이메일 DB 규모 (명)</t>
  </si>
  <si>
    <t xml:space="preserve">명(연말)</t>
  </si>
  <si>
    <t xml:space="preserve">연간 이메일 캠페인 전환자 (DB×전환율×12)</t>
  </si>
  <si>
    <t xml:space="preserve">명/년</t>
  </si>
  <si>
    <t xml:space="preserve">앱 내 바이럴 추가 유저 (K=1.4 복리)</t>
  </si>
  <si>
    <t xml:space="preserve">총 loveTWO 구매자 (캠페인+바이럴)</t>
  </si>
  <si>
    <r>
      <rPr>
        <b val="true"/>
        <sz val="11"/>
        <color rgb="FFFFFFFF"/>
        <rFont val="Arial"/>
        <family val="0"/>
        <charset val="1"/>
      </rPr>
      <t xml:space="preserve">B. loveTWO </t>
    </r>
    <r>
      <rPr>
        <b val="true"/>
        <sz val="11"/>
        <color rgb="FFFFFFFF"/>
        <rFont val="Noto Sans CJK KR"/>
        <family val="2"/>
      </rPr>
      <t xml:space="preserve">오너 수익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직판</t>
    </r>
    <r>
      <rPr>
        <b val="true"/>
        <sz val="11"/>
        <color rgb="FFFFFFFF"/>
        <rFont val="Arial"/>
        <family val="0"/>
        <charset val="1"/>
      </rPr>
      <t xml:space="preserve">, Hotmart </t>
    </r>
    <r>
      <rPr>
        <b val="true"/>
        <sz val="11"/>
        <color rgb="FFFFFFFF"/>
        <rFont val="Noto Sans CJK KR"/>
        <family val="2"/>
      </rPr>
      <t xml:space="preserve">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</si>
  <si>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 리포트 수익(₩)</t>
  </si>
  <si>
    <t xml:space="preserve">심화 번들 수익(₩)</t>
  </si>
  <si>
    <t xml:space="preserve">월 광고비 차감(₩)</t>
  </si>
  <si>
    <r>
      <rPr>
        <b val="true"/>
        <sz val="10"/>
        <color rgb="FFFFFFFF"/>
        <rFont val="Arial"/>
        <family val="0"/>
        <charset val="1"/>
      </rPr>
      <t xml:space="preserve">★ loveTWO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</si>
  <si>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② SOLO — 1</t>
    </r>
    <r>
      <rPr>
        <b val="true"/>
        <sz val="13"/>
        <color rgb="FFFFFFFF"/>
        <rFont val="Noto Sans CJK KR"/>
        <family val="2"/>
      </rPr>
      <t xml:space="preserve">인 </t>
    </r>
    <r>
      <rPr>
        <b val="true"/>
        <sz val="13"/>
        <color rgb="FFFFFFFF"/>
        <rFont val="Arial"/>
        <family val="0"/>
        <charset val="1"/>
      </rPr>
      <t xml:space="preserve">Self-Help  |  ES+PT+EN </t>
    </r>
    <r>
      <rPr>
        <b val="true"/>
        <sz val="13"/>
        <color rgb="FFFFFFFF"/>
        <rFont val="Noto Sans CJK KR"/>
        <family val="2"/>
      </rPr>
      <t xml:space="preserve">동시출시  </t>
    </r>
    <r>
      <rPr>
        <b val="true"/>
        <sz val="13"/>
        <color rgb="FFFFFFFF"/>
        <rFont val="Arial"/>
        <family val="0"/>
        <charset val="1"/>
      </rPr>
      <t xml:space="preserve">|  5</t>
    </r>
    <r>
      <rPr>
        <b val="true"/>
        <sz val="13"/>
        <color rgb="FFFFFFFF"/>
        <rFont val="Noto Sans CJK KR"/>
        <family val="2"/>
      </rPr>
      <t xml:space="preserve">년 수익 시뮬레이션</t>
    </r>
  </si>
  <si>
    <r>
      <rPr>
        <i val="true"/>
        <sz val="10"/>
        <color rgb="FF2E4A7C"/>
        <rFont val="Arial"/>
        <family val="0"/>
        <charset val="1"/>
      </rPr>
      <t xml:space="preserve">3</t>
    </r>
    <r>
      <rPr>
        <i val="true"/>
        <sz val="10"/>
        <color rgb="FF2E4A7C"/>
        <rFont val="Noto Sans CJK KR"/>
        <family val="2"/>
      </rPr>
      <t xml:space="preserve">개월 내 스페인어</t>
    </r>
    <r>
      <rPr>
        <i val="true"/>
        <sz val="10"/>
        <color rgb="FF2E4A7C"/>
        <rFont val="Arial"/>
        <family val="0"/>
        <charset val="1"/>
      </rPr>
      <t xml:space="preserve">·</t>
    </r>
    <r>
      <rPr>
        <i val="true"/>
        <sz val="10"/>
        <color rgb="FF2E4A7C"/>
        <rFont val="Noto Sans CJK KR"/>
        <family val="2"/>
      </rPr>
      <t xml:space="preserve">포르투갈어</t>
    </r>
    <r>
      <rPr>
        <i val="true"/>
        <sz val="10"/>
        <color rgb="FF2E4A7C"/>
        <rFont val="Arial"/>
        <family val="0"/>
        <charset val="1"/>
      </rPr>
      <t xml:space="preserve">·</t>
    </r>
    <r>
      <rPr>
        <i val="true"/>
        <sz val="10"/>
        <color rgb="FF2E4A7C"/>
        <rFont val="Noto Sans CJK KR"/>
        <family val="2"/>
      </rPr>
      <t xml:space="preserve">영어 동시 서비스 → 파트너 </t>
    </r>
    <r>
      <rPr>
        <i val="true"/>
        <sz val="10"/>
        <color rgb="FF2E4A7C"/>
        <rFont val="Arial"/>
        <family val="0"/>
        <charset val="1"/>
      </rPr>
      <t xml:space="preserve">60</t>
    </r>
    <r>
      <rPr>
        <i val="true"/>
        <sz val="10"/>
        <color rgb="FF2E4A7C"/>
        <rFont val="Noto Sans CJK KR"/>
        <family val="2"/>
      </rPr>
      <t xml:space="preserve">명 런칭 → 글로벌 퍼널 자동화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</si>
  <si>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CJK KR"/>
        <family val="2"/>
      </rPr>
      <t xml:space="preserve">파트너 수 </t>
    </r>
    <r>
      <rPr>
        <b val="true"/>
        <sz val="11"/>
        <color rgb="FFFFFFFF"/>
        <rFont val="Arial"/>
        <family val="0"/>
        <charset val="1"/>
      </rPr>
      <t xml:space="preserve">(ES+PT+EN 3</t>
    </r>
    <r>
      <rPr>
        <b val="true"/>
        <sz val="11"/>
        <color rgb="FFFFFFFF"/>
        <rFont val="Noto Sans CJK KR"/>
        <family val="2"/>
      </rPr>
      <t xml:space="preserve">언어 풀 가동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</si>
  <si>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연초 파트너 수</t>
  </si>
  <si>
    <t xml:space="preserve">명</t>
  </si>
  <si>
    <t xml:space="preserve">  활성 파트너</t>
  </si>
  <si>
    <t xml:space="preserve">  상위20% 파트너</t>
  </si>
  <si>
    <r>
      <rPr>
        <b val="true"/>
        <sz val="11"/>
        <color rgb="FFFFFFFF"/>
        <rFont val="Arial"/>
        <family val="0"/>
        <charset val="1"/>
      </rPr>
      <t xml:space="preserve">B. T1 </t>
    </r>
    <r>
      <rPr>
        <b val="true"/>
        <sz val="11"/>
        <color rgb="FFFFFFFF"/>
        <rFont val="Noto Sans CJK KR"/>
        <family val="2"/>
      </rPr>
      <t xml:space="preserve">연간 판매량</t>
    </r>
  </si>
  <si>
    <t xml:space="preserve">월 T1 판매량 (활성파트너)</t>
  </si>
  <si>
    <t xml:space="preserve">개/월</t>
  </si>
  <si>
    <t xml:space="preserve">연간 T1 판매량</t>
  </si>
  <si>
    <t xml:space="preserve">개/년</t>
  </si>
  <si>
    <r>
      <rPr>
        <b val="true"/>
        <sz val="11"/>
        <color rgb="FFFFFFFF"/>
        <rFont val="Arial"/>
        <family val="0"/>
        <charset val="1"/>
      </rPr>
      <t xml:space="preserve">C. SOLO </t>
    </r>
    <r>
      <rPr>
        <b val="true"/>
        <sz val="11"/>
        <color rgb="FFFFFFFF"/>
        <rFont val="Noto Sans CJK KR"/>
        <family val="2"/>
      </rPr>
      <t xml:space="preserve">오너 순수익 </t>
    </r>
    <r>
      <rPr>
        <b val="true"/>
        <sz val="11"/>
        <color rgb="FFFFFFFF"/>
        <rFont val="Arial"/>
        <family val="0"/>
        <charset val="1"/>
      </rPr>
      <t xml:space="preserve">(Hotmart </t>
    </r>
    <r>
      <rPr>
        <b val="true"/>
        <sz val="11"/>
        <color rgb="FFFFFFFF"/>
        <rFont val="Noto Sans CJK KR"/>
        <family val="2"/>
      </rPr>
      <t xml:space="preserve">수수료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KR"/>
        <family val="2"/>
      </rPr>
      <t xml:space="preserve">커미션 차감 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</si>
  <si>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T2 OTO </t>
    </r>
    <r>
      <rPr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</si>
  <si>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업셀 판매량</t>
    </r>
  </si>
  <si>
    <t xml:space="preserve">부록 판매량</t>
  </si>
  <si>
    <r>
      <rPr>
        <sz val="10"/>
        <color rgb="FF000000"/>
        <rFont val="Arial"/>
        <family val="0"/>
        <charset val="1"/>
      </rPr>
      <t xml:space="preserve">  T1 </t>
    </r>
    <r>
      <rPr>
        <sz val="10"/>
        <color rgb="FF000000"/>
        <rFont val="Noto Sans CJK KR"/>
        <family val="2"/>
      </rPr>
      <t xml:space="preserve">오너 순수익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</si>
  <si>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Arial"/>
        <family val="0"/>
        <charset val="1"/>
      </rPr>
      <t xml:space="preserve">  T2 </t>
    </r>
    <r>
      <rPr>
        <sz val="10"/>
        <color rgb="FF000000"/>
        <rFont val="Noto Sans CJK KR"/>
        <family val="2"/>
      </rPr>
      <t xml:space="preserve">오너 순수익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</si>
  <si>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오너 순수익</t>
    </r>
    <r>
      <rPr>
        <sz val="10"/>
        <color rgb="FF000000"/>
        <rFont val="Arial"/>
        <family val="0"/>
        <charset val="1"/>
      </rPr>
      <t xml:space="preserve">(₩)</t>
    </r>
  </si>
  <si>
    <t xml:space="preserve">  부록 오너 순수익(₩)</t>
  </si>
  <si>
    <r>
      <rPr>
        <b val="true"/>
        <sz val="10"/>
        <color rgb="FFFFFFFF"/>
        <rFont val="Arial"/>
        <family val="0"/>
        <charset val="1"/>
      </rPr>
      <t xml:space="preserve">★ SOLO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</si>
  <si>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ShiningShadow </t>
    </r>
    <r>
      <rPr>
        <b val="true"/>
        <sz val="13"/>
        <color rgb="FFFFFFFF"/>
        <rFont val="Noto Sans CJK KR"/>
        <family val="2"/>
      </rPr>
      <t xml:space="preserve">브랜드 생태계 수익 시뮬레이션 </t>
    </r>
    <r>
      <rPr>
        <b val="true"/>
        <sz val="13"/>
        <color rgb="FFFFFFFF"/>
        <rFont val="Arial"/>
        <family val="0"/>
        <charset val="1"/>
      </rPr>
      <t xml:space="preserve">v2 — </t>
    </r>
    <r>
      <rPr>
        <b val="true"/>
        <sz val="13"/>
        <color rgb="FFFFFFFF"/>
        <rFont val="Noto Sans CJK KR"/>
        <family val="2"/>
      </rPr>
      <t xml:space="preserve">핵심 가정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KR"/>
        <family val="2"/>
      </rPr>
      <t xml:space="preserve">현실적 공격형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</si>
  <si>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1A2030"/>
        <rFont val="Arial"/>
        <family val="0"/>
        <charset val="1"/>
      </rPr>
      <t xml:space="preserve">SOLO: ES+PT+EN </t>
    </r>
    <r>
      <rPr>
        <i val="true"/>
        <sz val="10"/>
        <color rgb="FF1A2030"/>
        <rFont val="Noto Sans CJK KR"/>
        <family val="2"/>
      </rPr>
      <t xml:space="preserve">동시출시</t>
    </r>
    <r>
      <rPr>
        <i val="true"/>
        <sz val="10"/>
        <color rgb="FF1A2030"/>
        <rFont val="Arial"/>
        <family val="0"/>
        <charset val="1"/>
      </rPr>
      <t xml:space="preserve">(3</t>
    </r>
    <r>
      <rPr>
        <i val="true"/>
        <sz val="10"/>
        <color rgb="FF1A2030"/>
        <rFont val="Noto Sans CJK KR"/>
        <family val="2"/>
      </rPr>
      <t xml:space="preserve">개월내</t>
    </r>
    <r>
      <rPr>
        <i val="true"/>
        <sz val="10"/>
        <color rgb="FF1A2030"/>
        <rFont val="Arial"/>
        <family val="0"/>
        <charset val="1"/>
      </rPr>
      <t xml:space="preserve">)  |  loveTWO: </t>
    </r>
    <r>
      <rPr>
        <i val="true"/>
        <sz val="10"/>
        <color rgb="FF1A2030"/>
        <rFont val="Noto Sans CJK KR"/>
        <family val="2"/>
      </rPr>
      <t xml:space="preserve">이메일</t>
    </r>
    <r>
      <rPr>
        <i val="true"/>
        <sz val="10"/>
        <color rgb="FF1A2030"/>
        <rFont val="Arial"/>
        <family val="0"/>
        <charset val="1"/>
      </rPr>
      <t xml:space="preserve">DB </t>
    </r>
    <r>
      <rPr>
        <i val="true"/>
        <sz val="10"/>
        <color rgb="FF1A2030"/>
        <rFont val="Noto Sans CJK KR"/>
        <family val="2"/>
      </rPr>
      <t xml:space="preserve">자체 바이럴 웹앱  </t>
    </r>
    <r>
      <rPr>
        <i val="true"/>
        <sz val="10"/>
        <color rgb="FF1A2030"/>
        <rFont val="Arial"/>
        <family val="0"/>
        <charset val="1"/>
      </rPr>
      <t xml:space="preserve">|  TEAM: 2</t>
    </r>
    <r>
      <rPr>
        <i val="true"/>
        <sz val="10"/>
        <color rgb="FF1A2030"/>
        <rFont val="Noto Sans CJK KR"/>
        <family val="2"/>
      </rPr>
      <t xml:space="preserve">년 이론정교화→</t>
    </r>
    <r>
      <rPr>
        <i val="true"/>
        <sz val="10"/>
        <color rgb="FF1A2030"/>
        <rFont val="Arial"/>
        <family val="0"/>
        <charset val="1"/>
      </rPr>
      <t xml:space="preserve">3</t>
    </r>
    <r>
      <rPr>
        <i val="true"/>
        <sz val="10"/>
        <color rgb="FF1A2030"/>
        <rFont val="Noto Sans CJK KR"/>
        <family val="2"/>
      </rPr>
      <t xml:space="preserve">년차 프리미엄 </t>
    </r>
    <r>
      <rPr>
        <i val="true"/>
        <sz val="10"/>
        <color rgb="FF1A2030"/>
        <rFont val="Arial"/>
        <family val="0"/>
        <charset val="1"/>
      </rPr>
      <t xml:space="preserve">B2B</t>
    </r>
  </si>
  <si>
    <t xml:space="preserve">① 공통 가정</t>
  </si>
  <si>
    <r>
      <rPr>
        <b val="true"/>
        <sz val="11"/>
        <color rgb="FFFFFFFF"/>
        <rFont val="Arial"/>
        <family val="0"/>
        <charset val="1"/>
      </rPr>
      <t xml:space="preserve">④ loveTWO — </t>
    </r>
    <r>
      <rPr>
        <b val="true"/>
        <sz val="11"/>
        <color rgb="FFFFFFFF"/>
        <rFont val="Noto Sans CJK KR"/>
        <family val="2"/>
      </rPr>
      <t xml:space="preserve">자체 바이럴 웹앱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이메일 </t>
    </r>
    <r>
      <rPr>
        <b val="true"/>
        <sz val="11"/>
        <color rgb="FFFFFFFF"/>
        <rFont val="Arial"/>
        <family val="0"/>
        <charset val="1"/>
      </rPr>
      <t xml:space="preserve">DB)</t>
    </r>
  </si>
  <si>
    <t xml:space="preserve">항목</t>
  </si>
  <si>
    <t xml:space="preserve">값</t>
  </si>
  <si>
    <t xml:space="preserve">환율 (USD→KRW)</t>
  </si>
  <si>
    <t xml:space="preserve">₩1,400/$1</t>
  </si>
  <si>
    <t xml:space="preserve">초기 이메일 DB 규모 (명)</t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</si>
  <si>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출시 후 축적된 </t>
    </r>
    <r>
      <rPr>
        <sz val="10"/>
        <color rgb="FF000000"/>
        <rFont val="Arial"/>
        <family val="0"/>
        <charset val="1"/>
      </rPr>
      <t xml:space="preserve">DB</t>
    </r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</si>
  <si>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수수료</t>
    </r>
  </si>
  <si>
    <r>
      <rPr>
        <sz val="10"/>
        <color rgb="FF000000"/>
        <rFont val="Arial"/>
        <family val="0"/>
        <charset val="1"/>
      </rPr>
      <t xml:space="preserve">9.9% (SOLO </t>
    </r>
    <r>
      <rPr>
        <sz val="10"/>
        <color rgb="FF000000"/>
        <rFont val="Noto Sans CJK KR"/>
        <family val="2"/>
      </rPr>
      <t xml:space="preserve">판매 채널</t>
    </r>
    <r>
      <rPr>
        <sz val="10"/>
        <color rgb="FF000000"/>
        <rFont val="Arial"/>
        <family val="0"/>
        <charset val="1"/>
      </rPr>
      <t xml:space="preserve">)</t>
    </r>
  </si>
  <si>
    <t xml:space="preserve">월 신규 이메일 DB 증가율</t>
  </si>
  <si>
    <t xml:space="preserve">검사도구 바이럴 + 광고</t>
  </si>
  <si>
    <t xml:space="preserve">연간 가격 인상률</t>
  </si>
  <si>
    <t xml:space="preserve">매년 5% 인상</t>
  </si>
  <si>
    <t xml:space="preserve">이메일→loveTWO 전환율</t>
  </si>
  <si>
    <t xml:space="preserve">월 캠페인 8% 전환</t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</si>
  <si>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앱 바이럴 </t>
    </r>
    <r>
      <rPr>
        <sz val="10"/>
        <color rgb="FF000000"/>
        <rFont val="Arial"/>
        <family val="0"/>
        <charset val="1"/>
      </rPr>
      <t xml:space="preserve">K-factor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</si>
  <si>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KR"/>
        <family val="2"/>
      </rPr>
      <t xml:space="preserve">쌍 →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KR"/>
        <family val="2"/>
      </rPr>
      <t xml:space="preserve">쌍 공유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커플 특성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</si>
  <si>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② SOLO — 1</t>
    </r>
    <r>
      <rPr>
        <b val="true"/>
        <sz val="11"/>
        <color rgb="FFFFFFFF"/>
        <rFont val="Noto Sans CJK KR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(Hotmart </t>
    </r>
    <r>
      <rPr>
        <b val="true"/>
        <sz val="11"/>
        <color rgb="FFFFFFFF"/>
        <rFont val="Noto Sans CJK KR"/>
        <family val="2"/>
      </rPr>
      <t xml:space="preserve">파트너 채널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</si>
  <si>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 리포트 가격 (USD)</t>
  </si>
  <si>
    <t xml:space="preserve">심화 번들 가격 (USD)</t>
  </si>
  <si>
    <t xml:space="preserve">런칭 초기 파트너 수 (Year1)</t>
  </si>
  <si>
    <r>
      <rPr>
        <sz val="10"/>
        <color rgb="FF000000"/>
        <rFont val="Arial"/>
        <family val="0"/>
        <charset val="1"/>
      </rPr>
      <t xml:space="preserve">ES+PT+EN 3</t>
    </r>
    <r>
      <rPr>
        <sz val="10"/>
        <color rgb="FF000000"/>
        <rFont val="Noto Sans CJK KR"/>
        <family val="2"/>
      </rPr>
      <t xml:space="preserve">언어 동시</t>
    </r>
    <r>
      <rPr>
        <sz val="10"/>
        <color rgb="FF000000"/>
        <rFont val="Arial"/>
        <family val="0"/>
        <charset val="1"/>
      </rPr>
      <t xml:space="preserve">, 3</t>
    </r>
    <r>
      <rPr>
        <sz val="10"/>
        <color rgb="FF000000"/>
        <rFont val="Noto Sans CJK KR"/>
        <family val="2"/>
      </rPr>
      <t xml:space="preserve">개월 내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KR"/>
        <family val="2"/>
      </rPr>
      <t xml:space="preserve">명</t>
    </r>
  </si>
  <si>
    <t xml:space="preserve">기본 선택 비율</t>
  </si>
  <si>
    <t xml:space="preserve">파트너 월 바이럴 계수 K</t>
  </si>
  <si>
    <t xml:space="preserve">월 순증 20% (이전 15%에서 상향)</t>
  </si>
  <si>
    <t xml:space="preserve">심화 선택 비율</t>
  </si>
  <si>
    <t xml:space="preserve">파트너 연 이탈률</t>
  </si>
  <si>
    <t xml:space="preserve">다언어 성장으로 이탈 감소</t>
  </si>
  <si>
    <t xml:space="preserve">오너 마진률 (직판)</t>
  </si>
  <si>
    <t xml:space="preserve">결제수수료 제외, Hotmart 외 직판</t>
  </si>
  <si>
    <t xml:space="preserve">파트너 활성화율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</si>
  <si>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KR"/>
        <family val="2"/>
      </rPr>
      <t xml:space="preserve">언어 시장 다양화로 상향</t>
    </r>
  </si>
  <si>
    <t xml:space="preserve">월 광고비 (USD)</t>
  </si>
  <si>
    <t xml:space="preserve">자체 SNS 광고, 연 $6,000</t>
  </si>
  <si>
    <t xml:space="preserve">상위20% 인당 월 T1 판매</t>
  </si>
  <si>
    <t xml:space="preserve">파레토 상위 파트너</t>
  </si>
  <si>
    <r>
      <rPr>
        <sz val="10"/>
        <color rgb="FF000000"/>
        <rFont val="Arial"/>
        <family val="0"/>
        <charset val="1"/>
      </rPr>
      <t xml:space="preserve">★ loveTWO DB: loveTWO</t>
    </r>
    <r>
      <rPr>
        <sz val="10"/>
        <color rgb="FF000000"/>
        <rFont val="Noto Sans CJK KR"/>
        <family val="2"/>
      </rPr>
      <t xml:space="preserve">시트 직접입력</t>
    </r>
  </si>
  <si>
    <r>
      <rPr>
        <sz val="10"/>
        <color rgb="FF000000"/>
        <rFont val="Noto Sans CJK KR"/>
        <family val="2"/>
      </rPr>
      <t xml:space="preserve">이메일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Noto Sans CJK KR"/>
        <family val="2"/>
      </rPr>
      <t xml:space="preserve">규모는 </t>
    </r>
    <r>
      <rPr>
        <sz val="10"/>
        <color rgb="FF000000"/>
        <rFont val="Arial"/>
        <family val="0"/>
        <charset val="1"/>
      </rPr>
      <t xml:space="preserve">loveTWO</t>
    </r>
    <r>
      <rPr>
        <sz val="10"/>
        <color rgb="FF000000"/>
        <rFont val="Noto Sans CJK KR"/>
        <family val="2"/>
      </rPr>
      <t xml:space="preserve">시트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KR"/>
        <family val="2"/>
      </rPr>
      <t xml:space="preserve">행에서 직접 조정</t>
    </r>
  </si>
  <si>
    <t xml:space="preserve">중위60% 인당 월 T1 판매</t>
  </si>
  <si>
    <r>
      <rPr>
        <b val="true"/>
        <sz val="11"/>
        <color rgb="FFFFFFFF"/>
        <rFont val="Arial"/>
        <family val="0"/>
        <charset val="1"/>
      </rPr>
      <t xml:space="preserve">⑤ TEAM — </t>
    </r>
    <r>
      <rPr>
        <b val="true"/>
        <sz val="11"/>
        <color rgb="FFFFFFFF"/>
        <rFont val="Noto Sans CJK KR"/>
        <family val="2"/>
      </rPr>
      <t xml:space="preserve">이론정교화→프리미엄 </t>
    </r>
    <r>
      <rPr>
        <b val="true"/>
        <sz val="11"/>
        <color rgb="FFFFFFFF"/>
        <rFont val="Arial"/>
        <family val="0"/>
        <charset val="1"/>
      </rPr>
      <t xml:space="preserve">B2B</t>
    </r>
  </si>
  <si>
    <t xml:space="preserve">하위20% 인당 월 T1 판매</t>
  </si>
  <si>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KR"/>
        <family val="2"/>
      </rPr>
      <t xml:space="preserve">연간 성장 상한 </t>
    </r>
    <r>
      <rPr>
        <sz val="10"/>
        <color rgb="FF000000"/>
        <rFont val="Arial"/>
        <family val="0"/>
        <charset val="1"/>
      </rPr>
      <t xml:space="preserve">Year3+</t>
    </r>
  </si>
  <si>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KR"/>
        <family val="2"/>
      </rPr>
      <t xml:space="preserve">연간 캡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</si>
  <si>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기본 진단 가격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</si>
  <si>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Year3</t>
    </r>
    <r>
      <rPr>
        <sz val="10"/>
        <color rgb="FF000000"/>
        <rFont val="Noto Sans CJK KR"/>
        <family val="2"/>
      </rPr>
      <t xml:space="preserve">부터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KR"/>
        <family val="2"/>
      </rPr>
      <t xml:space="preserve">논문 기반 신뢰 프리미엄</t>
    </r>
  </si>
  <si>
    <r>
      <rPr>
        <b val="true"/>
        <sz val="11"/>
        <color rgb="FFFFFFFF"/>
        <rFont val="Arial"/>
        <family val="0"/>
        <charset val="1"/>
      </rPr>
      <t xml:space="preserve">③ SOLO </t>
    </r>
    <r>
      <rPr>
        <b val="true"/>
        <sz val="11"/>
        <color rgb="FFFFFFFF"/>
        <rFont val="Noto Sans CJK KR"/>
        <family val="2"/>
      </rPr>
      <t xml:space="preserve">상품 가격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전환율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</si>
  <si>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워크숍 패키지 </t>
    </r>
    <r>
      <rPr>
        <sz val="10"/>
        <color rgb="FF000000"/>
        <rFont val="Arial"/>
        <family val="0"/>
        <charset val="1"/>
      </rPr>
      <t xml:space="preserve">(USD)</t>
    </r>
  </si>
  <si>
    <t xml:space="preserve">반나절 워크숍 포함 (온라인)</t>
  </si>
  <si>
    <t xml:space="preserve">상품</t>
  </si>
  <si>
    <r>
      <rPr>
        <b val="true"/>
        <sz val="10"/>
        <color rgb="FF1A2030"/>
        <rFont val="Arial"/>
        <family val="0"/>
        <charset val="1"/>
      </rPr>
      <t xml:space="preserve">USD </t>
    </r>
    <r>
      <rPr>
        <b val="true"/>
        <sz val="10"/>
        <color rgb="FF1A2030"/>
        <rFont val="Noto Sans CJK KR"/>
        <family val="2"/>
      </rPr>
      <t xml:space="preserve">가격</t>
    </r>
  </si>
  <si>
    <t xml:space="preserve">파트너 커미션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</si>
  <si>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연간 구독 </t>
    </r>
    <r>
      <rPr>
        <sz val="10"/>
        <color rgb="FF000000"/>
        <rFont val="Arial"/>
        <family val="0"/>
        <charset val="1"/>
      </rPr>
      <t xml:space="preserve">(USD/</t>
    </r>
    <r>
      <rPr>
        <sz val="10"/>
        <color rgb="FF000000"/>
        <rFont val="Noto Sans CJK KR"/>
        <family val="2"/>
      </rPr>
      <t xml:space="preserve">팀</t>
    </r>
    <r>
      <rPr>
        <sz val="10"/>
        <color rgb="FF000000"/>
        <rFont val="Arial"/>
        <family val="0"/>
        <charset val="1"/>
      </rPr>
      <t xml:space="preserve">)</t>
    </r>
  </si>
  <si>
    <t xml:space="preserve">지속 모니터링 서비스</t>
  </si>
  <si>
    <t xml:space="preserve">T1 Basic</t>
  </si>
  <si>
    <r>
      <rPr>
        <sz val="10"/>
        <color rgb="FF000000"/>
        <rFont val="Arial"/>
        <family val="0"/>
        <charset val="1"/>
      </rPr>
      <t xml:space="preserve">Year1 TEAM </t>
    </r>
    <r>
      <rPr>
        <sz val="10"/>
        <color rgb="FF000000"/>
        <rFont val="Noto Sans CJK KR"/>
        <family val="2"/>
      </rPr>
      <t xml:space="preserve">계약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</si>
  <si>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파일럿·케이스스터디용</t>
  </si>
  <si>
    <t xml:space="preserve">T2 Deep (OTO)</t>
  </si>
  <si>
    <r>
      <rPr>
        <sz val="10"/>
        <color rgb="FF000000"/>
        <rFont val="Arial"/>
        <family val="0"/>
        <charset val="1"/>
      </rPr>
      <t xml:space="preserve">Year2 TEAM </t>
    </r>
    <r>
      <rPr>
        <sz val="10"/>
        <color rgb="FF000000"/>
        <rFont val="Noto Sans CJK KR"/>
        <family val="2"/>
      </rPr>
      <t xml:space="preserve">계약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</si>
  <si>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논문·백서 발표 후 신뢰 확보</t>
  </si>
  <si>
    <r>
      <rPr>
        <sz val="10"/>
        <color rgb="FF000000"/>
        <rFont val="Arial"/>
        <family val="0"/>
        <charset val="1"/>
      </rPr>
      <t xml:space="preserve">T3 Master (</t>
    </r>
    <r>
      <rPr>
        <sz val="10"/>
        <color rgb="FF000000"/>
        <rFont val="Noto Sans CJK KR"/>
        <family val="2"/>
      </rPr>
      <t xml:space="preserve">업셀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</si>
  <si>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Year3 TEAM </t>
    </r>
    <r>
      <rPr>
        <sz val="10"/>
        <color rgb="FF000000"/>
        <rFont val="Noto Sans CJK KR"/>
        <family val="2"/>
      </rPr>
      <t xml:space="preserve">계약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</si>
  <si>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본격 B2B 런칭</t>
  </si>
  <si>
    <t xml:space="preserve">부록 A/B/C (각)</t>
  </si>
  <si>
    <r>
      <rPr>
        <sz val="10"/>
        <color rgb="FF000000"/>
        <rFont val="Arial"/>
        <family val="0"/>
        <charset val="1"/>
      </rPr>
      <t xml:space="preserve">Year4 TEAM </t>
    </r>
    <r>
      <rPr>
        <sz val="10"/>
        <color rgb="FF000000"/>
        <rFont val="Noto Sans CJK KR"/>
        <family val="2"/>
      </rPr>
      <t xml:space="preserve">계약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</si>
  <si>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Year5 TEAM </t>
    </r>
    <r>
      <rPr>
        <sz val="10"/>
        <color rgb="FF000000"/>
        <rFont val="Noto Sans CJK KR"/>
        <family val="2"/>
      </rPr>
      <t xml:space="preserve">계약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</si>
  <si>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t xml:space="preserve">전환 단계</t>
  </si>
  <si>
    <t xml:space="preserve">전환율</t>
  </si>
  <si>
    <t xml:space="preserve">기본진단 선택비율</t>
  </si>
  <si>
    <r>
      <rPr>
        <sz val="10"/>
        <color rgb="FF000000"/>
        <rFont val="Arial"/>
        <family val="0"/>
        <charset val="1"/>
      </rPr>
      <t xml:space="preserve">T1→T2 OTO </t>
    </r>
    <r>
      <rPr>
        <sz val="10"/>
        <color rgb="FF000000"/>
        <rFont val="Noto Sans CJK KR"/>
        <family val="2"/>
      </rPr>
      <t xml:space="preserve">전환율</t>
    </r>
  </si>
  <si>
    <t xml:space="preserve">즉시팝업, 3언어 현지화로 상향</t>
  </si>
  <si>
    <t xml:space="preserve">워크숍 선택비율</t>
  </si>
  <si>
    <r>
      <rPr>
        <sz val="10"/>
        <color rgb="FF000000"/>
        <rFont val="Arial"/>
        <family val="0"/>
        <charset val="1"/>
      </rPr>
      <t xml:space="preserve">T1→T3 </t>
    </r>
    <r>
      <rPr>
        <sz val="10"/>
        <color rgb="FF000000"/>
        <rFont val="Noto Sans CJK KR"/>
        <family val="2"/>
      </rPr>
      <t xml:space="preserve">이메일 업셀</t>
    </r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</si>
  <si>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KR"/>
        <family val="2"/>
      </rPr>
      <t xml:space="preserve">일 시퀀스</t>
    </r>
  </si>
  <si>
    <t xml:space="preserve">연간구독 선택비율</t>
  </si>
  <si>
    <r>
      <rPr>
        <sz val="10"/>
        <color rgb="FF000000"/>
        <rFont val="Arial"/>
        <family val="0"/>
        <charset val="1"/>
      </rPr>
      <t xml:space="preserve">T1→</t>
    </r>
    <r>
      <rPr>
        <sz val="10"/>
        <color rgb="FF000000"/>
        <rFont val="Noto Sans CJK KR"/>
        <family val="2"/>
      </rPr>
      <t xml:space="preserve">부록 구매율</t>
    </r>
  </si>
  <si>
    <t xml:space="preserve">번들 or 이메일</t>
  </si>
  <si>
    <t xml:space="preserve">직접계약, 결제수수료 제외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</si>
</sst>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#,##0"/>
    <numFmt numFmtId="168" formatCode="0.00"/>
    <numFmt numFmtId="169" formatCode="\$#,##0.00"/>
    <numFmt numFmtId="170" formatCode="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i val="true"/>
      <sz val="10"/>
      <color rgb="FF1A2030"/>
      <name val="Arial"/>
      <family val="0"/>
      <charset val="1"/>
    </font>
    <font>
      <i val="true"/>
      <sz val="10"/>
      <color rgb="FF1A2030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1"/>
      <color rgb="FFFFFFFF"/>
      <name val="Noto Sans CJK KR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KR"/>
      <family val="2"/>
    </font>
    <font>
      <b val="true"/>
      <sz val="10"/>
      <color rgb="FF2E4A7C"/>
      <name val="Arial"/>
      <family val="0"/>
      <charset val="1"/>
    </font>
    <font>
      <b val="true"/>
      <sz val="10"/>
      <color rgb="FF2E4A7C"/>
      <name val="Noto Sans CJK KR"/>
      <family val="2"/>
    </font>
    <font>
      <sz val="10"/>
      <color rgb="FF0066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7B3F00"/>
      <name val="Noto Sans CJK KR"/>
      <family val="2"/>
    </font>
    <font>
      <b val="true"/>
      <sz val="10"/>
      <color rgb="FF1B5E20"/>
      <name val="Arial"/>
      <family val="0"/>
      <charset val="1"/>
    </font>
    <font>
      <b val="true"/>
      <sz val="10"/>
      <color rgb="FF1B5E20"/>
      <name val="Noto Sans CJK KR"/>
      <family val="2"/>
    </font>
    <font>
      <b val="true"/>
      <sz val="10"/>
      <color rgb="FFFFFFFF"/>
      <name val="Noto Sans CJK KR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Noto Sans CJK KR"/>
      <family val="2"/>
      <charset val="1"/>
    </font>
    <font>
      <sz val="10"/>
      <color rgb="FF000000"/>
      <name val="Noto Sans CJK KR"/>
      <family val="2"/>
      <charset val="1"/>
    </font>
    <font>
      <b val="true"/>
      <sz val="10"/>
      <color rgb="FF1A2030"/>
      <name val="Noto Sans CJK KR"/>
      <family val="2"/>
      <charset val="1"/>
    </font>
    <font>
      <b val="true"/>
      <sz val="10"/>
      <color rgb="FF1A2030"/>
      <name val="Arial"/>
      <family val="0"/>
      <charset val="1"/>
    </font>
    <font>
      <sz val="10"/>
      <color rgb="FF000000"/>
      <name val="Noto Sans CJK KR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KR"/>
      <family val="2"/>
    </font>
    <font>
      <sz val="9"/>
      <color rgb="FF000000"/>
      <name val="Noto Sans CJK KR"/>
      <family val="2"/>
      <charset val="1"/>
    </font>
    <font>
      <b val="true"/>
      <sz val="10"/>
      <color rgb="FF2E4A7C"/>
      <name val="Noto Sans CJK KR"/>
      <family val="2"/>
      <charset val="1"/>
    </font>
    <font>
      <i val="true"/>
      <sz val="9"/>
      <color rgb="FF888888"/>
      <name val="Noto Sans CJK KR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i val="true"/>
      <sz val="10"/>
      <color rgb="FF1B5E20"/>
      <name val="Noto Sans CJK KR"/>
      <family val="2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7B3F00"/>
      <name val="Noto Sans CJK KR"/>
      <family val="2"/>
      <charset val="1"/>
    </font>
    <font>
      <sz val="10"/>
      <color rgb="FF0000FF"/>
      <name val="Arial"/>
      <family val="0"/>
      <charset val="1"/>
    </font>
    <font>
      <sz val="10"/>
      <color rgb="FFCC0000"/>
      <name val="Noto Sans CJK KR"/>
      <family val="2"/>
      <charset val="1"/>
    </font>
    <font>
      <sz val="10"/>
      <color rgb="FFCC0000"/>
      <name val="Arial"/>
      <family val="0"/>
      <charset val="1"/>
    </font>
    <font>
      <i val="true"/>
      <sz val="10"/>
      <color rgb="FF2E4A7C"/>
      <name val="Arial"/>
      <family val="0"/>
      <charset val="1"/>
    </font>
    <font>
      <i val="true"/>
      <sz val="10"/>
      <color rgb="FF2E4A7C"/>
      <name val="Noto Sans CJK KR"/>
      <family val="2"/>
    </font>
    <font>
      <b val="true"/>
      <sz val="10"/>
      <color rgb="FF1A2030"/>
      <name val="Noto Sans CJK KR"/>
      <family val="2"/>
    </font>
  </fonts>
  <fills count="13">
    <fill>
      <patternFill patternType="none"/>
    </fill>
    <fill>
      <patternFill patternType="gray125"/>
    </fill>
    <fill>
      <patternFill patternType="solid">
        <fgColor rgb="FF1A2030"/>
        <bgColor rgb="FF003300"/>
      </patternFill>
    </fill>
    <fill>
      <patternFill patternType="solid">
        <fgColor rgb="FFF5E6B0"/>
        <bgColor rgb="FFFFF3E0"/>
      </patternFill>
    </fill>
    <fill>
      <patternFill patternType="solid">
        <fgColor rgb="FFB8860B"/>
        <bgColor rgb="FFFF9900"/>
      </patternFill>
    </fill>
    <fill>
      <patternFill patternType="solid">
        <fgColor rgb="FFE8EDF7"/>
        <bgColor rgb="FFE8F5E9"/>
      </patternFill>
    </fill>
    <fill>
      <patternFill patternType="solid">
        <fgColor rgb="FFFFF3E0"/>
        <bgColor rgb="FFF4F6FB"/>
      </patternFill>
    </fill>
    <fill>
      <patternFill patternType="solid">
        <fgColor rgb="FFE8F5E9"/>
        <bgColor rgb="FFE8EDF7"/>
      </patternFill>
    </fill>
    <fill>
      <patternFill patternType="solid">
        <fgColor rgb="FFF4F6FB"/>
        <bgColor rgb="FFE8F5E9"/>
      </patternFill>
    </fill>
    <fill>
      <patternFill patternType="solid">
        <fgColor rgb="FFD8DCE8"/>
        <bgColor rgb="FFE8EDF7"/>
      </patternFill>
    </fill>
    <fill>
      <patternFill patternType="solid">
        <fgColor rgb="FF1B5E20"/>
        <bgColor rgb="FF006600"/>
      </patternFill>
    </fill>
    <fill>
      <patternFill patternType="solid">
        <fgColor rgb="FF7B3F00"/>
        <bgColor rgb="FF993366"/>
      </patternFill>
    </fill>
    <fill>
      <patternFill patternType="solid">
        <fgColor rgb="FF2E4A7C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777777"/>
      </left>
      <right/>
      <top style="medium">
        <color rgb="FF777777"/>
      </top>
      <bottom style="medium">
        <color rgb="FF777777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FF3E0"/>
      <rgbColor rgb="FFE8F5E9"/>
      <rgbColor rgb="FF660066"/>
      <rgbColor rgb="FFFF8080"/>
      <rgbColor rgb="FF0066CC"/>
      <rgbColor rgb="FFD8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7"/>
      <rgbColor rgb="FFF4F6FB"/>
      <rgbColor rgb="FFF5E6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77777"/>
      <rgbColor rgb="FFAAAAAA"/>
      <rgbColor rgb="FF003366"/>
      <rgbColor rgb="FF339966"/>
      <rgbColor rgb="FF003300"/>
      <rgbColor rgb="FF1B5E20"/>
      <rgbColor rgb="FF7B3F00"/>
      <rgbColor rgb="FF993366"/>
      <rgbColor rgb="FF2E4A7C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6" customFormat="false" ht="16.5" hidden="false" customHeight="true" outlineLevel="0" collapsed="false">
      <c r="B6" s="5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5" t="s">
        <v>10</v>
      </c>
    </row>
    <row r="7" customFormat="false" ht="15" hidden="false" customHeight="true" outlineLevel="0" collapsed="false">
      <c r="B7" s="7" t="s">
        <v>11</v>
      </c>
      <c r="C7" s="8" t="n">
        <f aca="false">'② SOLO'!C22</f>
        <v>51605161</v>
      </c>
      <c r="D7" s="8" t="n">
        <f aca="false">'② SOLO'!D22</f>
        <v>158849608</v>
      </c>
      <c r="E7" s="8" t="n">
        <f aca="false">'② SOLO'!E22</f>
        <v>484166785</v>
      </c>
      <c r="F7" s="8" t="n">
        <f aca="false">'② SOLO'!F22</f>
        <v>1468673566</v>
      </c>
      <c r="G7" s="8" t="n">
        <f aca="false">'② SOLO'!G22</f>
        <v>4459448089</v>
      </c>
      <c r="H7" s="8" t="n">
        <f aca="false">'② SOLO'!H22</f>
        <v>6622743209</v>
      </c>
      <c r="I7" s="9" t="n">
        <f aca="false">H7/H10</f>
        <v>0.593454459594494</v>
      </c>
    </row>
    <row r="8" customFormat="false" ht="15" hidden="false" customHeight="true" outlineLevel="0" collapsed="false">
      <c r="B8" s="10" t="s">
        <v>12</v>
      </c>
      <c r="C8" s="8" t="n">
        <f aca="false">'③ loveTWO'!C15</f>
        <v>225294720</v>
      </c>
      <c r="D8" s="8" t="n">
        <f aca="false">'③ loveTWO'!D15</f>
        <v>400565760</v>
      </c>
      <c r="E8" s="8" t="n">
        <f aca="false">'③ loveTWO'!E15</f>
        <v>707290080</v>
      </c>
      <c r="F8" s="8" t="n">
        <f aca="false">'③ loveTWO'!F15</f>
        <v>1133841367</v>
      </c>
      <c r="G8" s="8" t="n">
        <f aca="false">'③ loveTWO'!G15</f>
        <v>1727506289</v>
      </c>
      <c r="H8" s="8" t="n">
        <f aca="false">'③ loveTWO'!H15</f>
        <v>4194498216</v>
      </c>
      <c r="I8" s="9" t="n">
        <f aca="false">H8/H10</f>
        <v>0.37586293073595</v>
      </c>
    </row>
    <row r="9" customFormat="false" ht="15" hidden="false" customHeight="true" outlineLevel="0" collapsed="false">
      <c r="B9" s="11" t="s">
        <v>13</v>
      </c>
      <c r="C9" s="8" t="n">
        <f aca="false">'④ TEAM'!C12</f>
        <v>2738400</v>
      </c>
      <c r="D9" s="8" t="n">
        <f aca="false">'④ TEAM'!D12</f>
        <v>8625960</v>
      </c>
      <c r="E9" s="8" t="n">
        <f aca="false">'④ TEAM'!E12</f>
        <v>36229032</v>
      </c>
      <c r="F9" s="8" t="n">
        <f aca="false">'④ TEAM'!F12</f>
        <v>95101210</v>
      </c>
      <c r="G9" s="8" t="n">
        <f aca="false">'④ TEAM'!G12</f>
        <v>199712539</v>
      </c>
      <c r="H9" s="8" t="n">
        <f aca="false">'④ TEAM'!H12</f>
        <v>342407141</v>
      </c>
      <c r="I9" s="9" t="n">
        <f aca="false">H9/H10</f>
        <v>0.0306826096695561</v>
      </c>
    </row>
    <row r="10" customFormat="false" ht="15" hidden="false" customHeight="true" outlineLevel="0" collapsed="false">
      <c r="B10" s="12" t="s">
        <v>14</v>
      </c>
      <c r="C10" s="13" t="n">
        <f aca="false">SUM(C7,C8,C9)</f>
        <v>279638281</v>
      </c>
      <c r="D10" s="13" t="n">
        <f aca="false">SUM(D7,D8,D9)</f>
        <v>568041328</v>
      </c>
      <c r="E10" s="13" t="n">
        <f aca="false">SUM(E7,E8,E9)</f>
        <v>1227685897</v>
      </c>
      <c r="F10" s="13" t="n">
        <f aca="false">SUM(F7,F8,F9)</f>
        <v>2697616143</v>
      </c>
      <c r="G10" s="13" t="n">
        <f aca="false">SUM(G7,G8,G9)</f>
        <v>6386666917</v>
      </c>
      <c r="H10" s="13" t="n">
        <f aca="false">SUM(H7:H9)</f>
        <v>11159648566</v>
      </c>
      <c r="I10" s="9" t="n">
        <f aca="false">H10/H10</f>
        <v>1</v>
      </c>
    </row>
    <row r="12" customFormat="false" ht="15" hidden="false" customHeight="true" outlineLevel="0" collapsed="false">
      <c r="B12" s="14" t="s">
        <v>15</v>
      </c>
      <c r="C12" s="13" t="n">
        <f aca="false">ROUND(C10/12,0)</f>
        <v>23303190</v>
      </c>
      <c r="D12" s="13" t="n">
        <f aca="false">ROUND(D10/12,0)</f>
        <v>47336777</v>
      </c>
      <c r="E12" s="13" t="n">
        <f aca="false">ROUND(E10/12,0)</f>
        <v>102307158</v>
      </c>
      <c r="F12" s="13" t="n">
        <f aca="false">ROUND(F10/12,0)</f>
        <v>224801345</v>
      </c>
      <c r="G12" s="13" t="n">
        <f aca="false">ROUND(G10/12,0)</f>
        <v>532222243</v>
      </c>
      <c r="H12" s="15" t="s">
        <v>16</v>
      </c>
      <c r="I12" s="15"/>
    </row>
    <row r="14" customFormat="false" ht="16.5" hidden="false" customHeight="true" outlineLevel="0" collapsed="false">
      <c r="B14" s="16" t="s">
        <v>17</v>
      </c>
      <c r="C14" s="16"/>
      <c r="D14" s="16"/>
      <c r="E14" s="16"/>
      <c r="F14" s="16"/>
      <c r="G14" s="16"/>
      <c r="H14" s="16"/>
      <c r="I14" s="16"/>
    </row>
    <row r="15" customFormat="false" ht="15" hidden="false" customHeight="true" outlineLevel="0" collapsed="false">
      <c r="B15" s="17" t="s">
        <v>18</v>
      </c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  <c r="H15" s="17" t="s">
        <v>19</v>
      </c>
      <c r="I15" s="17"/>
    </row>
    <row r="16" customFormat="false" ht="15" hidden="false" customHeight="true" outlineLevel="0" collapsed="false">
      <c r="B16" s="19" t="s">
        <v>20</v>
      </c>
      <c r="C16" s="8" t="n">
        <f aca="false">'② SOLO'!C6</f>
        <v>60</v>
      </c>
      <c r="D16" s="8" t="n">
        <f aca="false">'② SOLO'!D6</f>
        <v>173</v>
      </c>
      <c r="E16" s="8" t="n">
        <f aca="false">'② SOLO'!E6</f>
        <v>500</v>
      </c>
      <c r="F16" s="8" t="n">
        <f aca="false">'② SOLO'!F6</f>
        <v>1445</v>
      </c>
      <c r="G16" s="8" t="n">
        <f aca="false">'② SOLO'!G6</f>
        <v>4176</v>
      </c>
      <c r="H16" s="20"/>
      <c r="I16" s="20"/>
    </row>
    <row r="17" customFormat="false" ht="15" hidden="false" customHeight="true" outlineLevel="0" collapsed="false">
      <c r="B17" s="19" t="s">
        <v>21</v>
      </c>
      <c r="C17" s="8" t="n">
        <f aca="false">'② SOLO'!C12</f>
        <v>4344</v>
      </c>
      <c r="D17" s="8" t="n">
        <f aca="false">'② SOLO'!D12</f>
        <v>12732</v>
      </c>
      <c r="E17" s="8" t="n">
        <f aca="false">'② SOLO'!E12</f>
        <v>36960</v>
      </c>
      <c r="F17" s="8" t="n">
        <f aca="false">'② SOLO'!F12</f>
        <v>106776</v>
      </c>
      <c r="G17" s="8" t="n">
        <f aca="false">'② SOLO'!G12</f>
        <v>308772</v>
      </c>
      <c r="H17" s="20"/>
      <c r="I17" s="20"/>
    </row>
    <row r="18" customFormat="false" ht="15" hidden="false" customHeight="true" outlineLevel="0" collapsed="false">
      <c r="B18" s="19" t="s">
        <v>22</v>
      </c>
      <c r="C18" s="8" t="n">
        <f aca="false">'③ loveTWO'!C6</f>
        <v>9000</v>
      </c>
      <c r="D18" s="8" t="n">
        <f aca="false">'③ loveTWO'!D6</f>
        <v>15000</v>
      </c>
      <c r="E18" s="8" t="n">
        <f aca="false">'③ loveTWO'!E6</f>
        <v>25000</v>
      </c>
      <c r="F18" s="8" t="n">
        <f aca="false">'③ loveTWO'!F6</f>
        <v>38000</v>
      </c>
      <c r="G18" s="8" t="n">
        <f aca="false">'③ loveTWO'!G6</f>
        <v>55000</v>
      </c>
      <c r="H18" s="20"/>
      <c r="I18" s="20"/>
    </row>
    <row r="19" customFormat="false" ht="15" hidden="false" customHeight="true" outlineLevel="0" collapsed="false">
      <c r="B19" s="19" t="s">
        <v>23</v>
      </c>
      <c r="C19" s="8" t="n">
        <f aca="false">'③ loveTWO'!C9</f>
        <v>12096</v>
      </c>
      <c r="D19" s="8" t="n">
        <f aca="false">'③ loveTWO'!D9</f>
        <v>20160</v>
      </c>
      <c r="E19" s="8" t="n">
        <f aca="false">'③ loveTWO'!E9</f>
        <v>33600</v>
      </c>
      <c r="F19" s="8" t="n">
        <f aca="false">'③ loveTWO'!F9</f>
        <v>51072</v>
      </c>
      <c r="G19" s="8" t="n">
        <f aca="false">'③ loveTWO'!G9</f>
        <v>73920</v>
      </c>
      <c r="H19" s="20"/>
      <c r="I19" s="20"/>
    </row>
    <row r="20" customFormat="false" ht="15" hidden="false" customHeight="true" outlineLevel="0" collapsed="false">
      <c r="B20" s="19" t="s">
        <v>24</v>
      </c>
      <c r="C20" s="8" t="n">
        <f aca="false">'④ TEAM'!C6</f>
        <v>5</v>
      </c>
      <c r="D20" s="8" t="n">
        <f aca="false">'④ TEAM'!D6</f>
        <v>15</v>
      </c>
      <c r="E20" s="8" t="n">
        <f aca="false">'④ TEAM'!E6</f>
        <v>60</v>
      </c>
      <c r="F20" s="8" t="n">
        <f aca="false">'④ TEAM'!F6</f>
        <v>150</v>
      </c>
      <c r="G20" s="8" t="n">
        <f aca="false">'④ TEAM'!G6</f>
        <v>300</v>
      </c>
      <c r="H20" s="20"/>
      <c r="I20" s="20"/>
    </row>
    <row r="23" customFormat="false" ht="16.5" hidden="false" customHeight="true" outlineLevel="0" collapsed="false">
      <c r="B23" s="16" t="s">
        <v>25</v>
      </c>
      <c r="C23" s="16"/>
      <c r="D23" s="16"/>
      <c r="E23" s="16"/>
      <c r="F23" s="16"/>
      <c r="G23" s="16"/>
      <c r="H23" s="16"/>
      <c r="I23" s="16"/>
    </row>
    <row r="24" customFormat="false" ht="15" hidden="false" customHeight="true" outlineLevel="0" collapsed="false">
      <c r="B24" s="17" t="s">
        <v>26</v>
      </c>
      <c r="C24" s="18" t="s">
        <v>27</v>
      </c>
      <c r="D24" s="18" t="s">
        <v>28</v>
      </c>
      <c r="E24" s="18" t="s">
        <v>29</v>
      </c>
      <c r="F24" s="17"/>
      <c r="G24" s="17"/>
      <c r="H24" s="17" t="s">
        <v>30</v>
      </c>
      <c r="I24" s="17"/>
    </row>
    <row r="25" customFormat="false" ht="37.5" hidden="false" customHeight="true" outlineLevel="0" collapsed="false">
      <c r="B25" s="21" t="s">
        <v>4</v>
      </c>
      <c r="C25" s="22" t="s">
        <v>31</v>
      </c>
      <c r="D25" s="23" t="s">
        <v>32</v>
      </c>
      <c r="E25" s="24" t="s">
        <v>33</v>
      </c>
      <c r="F25" s="25"/>
      <c r="G25" s="25"/>
      <c r="H25" s="26" t="s">
        <v>34</v>
      </c>
      <c r="I25" s="26"/>
    </row>
    <row r="26" customFormat="false" ht="37.5" hidden="false" customHeight="true" outlineLevel="0" collapsed="false">
      <c r="B26" s="21" t="s">
        <v>5</v>
      </c>
      <c r="C26" s="27" t="s">
        <v>35</v>
      </c>
      <c r="D26" s="28" t="s">
        <v>36</v>
      </c>
      <c r="E26" s="24" t="s">
        <v>37</v>
      </c>
      <c r="F26" s="25"/>
      <c r="G26" s="25"/>
      <c r="H26" s="26" t="s">
        <v>38</v>
      </c>
      <c r="I26" s="26"/>
    </row>
    <row r="27" customFormat="false" ht="37.5" hidden="false" customHeight="true" outlineLevel="0" collapsed="false">
      <c r="B27" s="21" t="s">
        <v>6</v>
      </c>
      <c r="C27" s="27" t="s">
        <v>39</v>
      </c>
      <c r="D27" s="28" t="s">
        <v>40</v>
      </c>
      <c r="E27" s="24" t="s">
        <v>41</v>
      </c>
      <c r="F27" s="25"/>
      <c r="G27" s="25"/>
      <c r="H27" s="26" t="s">
        <v>42</v>
      </c>
      <c r="I27" s="26"/>
    </row>
    <row r="28" customFormat="false" ht="37.5" hidden="false" customHeight="true" outlineLevel="0" collapsed="false">
      <c r="B28" s="21" t="s">
        <v>7</v>
      </c>
      <c r="C28" s="27" t="s">
        <v>43</v>
      </c>
      <c r="D28" s="23" t="s">
        <v>44</v>
      </c>
      <c r="E28" s="29" t="s">
        <v>45</v>
      </c>
      <c r="F28" s="25"/>
      <c r="G28" s="25"/>
      <c r="H28" s="26" t="s">
        <v>46</v>
      </c>
      <c r="I28" s="26"/>
    </row>
    <row r="29" customFormat="false" ht="37.5" hidden="false" customHeight="true" outlineLevel="0" collapsed="false">
      <c r="B29" s="21" t="s">
        <v>8</v>
      </c>
      <c r="C29" s="22" t="s">
        <v>47</v>
      </c>
      <c r="D29" s="23" t="s">
        <v>48</v>
      </c>
      <c r="E29" s="29" t="s">
        <v>49</v>
      </c>
      <c r="F29" s="25"/>
      <c r="G29" s="25"/>
      <c r="H29" s="30" t="s">
        <v>50</v>
      </c>
      <c r="I29" s="30"/>
    </row>
    <row r="32" customFormat="false" ht="13.5" hidden="false" customHeight="true" outlineLevel="0" collapsed="false">
      <c r="A32" s="31" t="s">
        <v>51</v>
      </c>
      <c r="B32" s="31"/>
      <c r="C32" s="31"/>
      <c r="D32" s="31"/>
      <c r="E32" s="31"/>
      <c r="F32" s="31"/>
      <c r="G32" s="31"/>
      <c r="H32" s="31"/>
      <c r="I32" s="31"/>
    </row>
  </sheetData>
  <mergeCells count="21">
    <mergeCell ref="A1:I1"/>
    <mergeCell ref="A2:I2"/>
    <mergeCell ref="A4:I4"/>
    <mergeCell ref="B14:I14"/>
    <mergeCell ref="H16:I16"/>
    <mergeCell ref="H17:I17"/>
    <mergeCell ref="H18:I18"/>
    <mergeCell ref="H19:I19"/>
    <mergeCell ref="H20:I20"/>
    <mergeCell ref="B23:I23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7" min="3" style="1" width="14"/>
    <col collapsed="false" customWidth="true" hidden="false" outlineLevel="0" max="8" min="8" style="1" width="16"/>
    <col collapsed="false" customWidth="true" hidden="false" outlineLevel="0" max="9" min="9" style="1" width="12"/>
  </cols>
  <sheetData>
    <row r="1" customFormat="false" ht="36" hidden="false" customHeight="true" outlineLevel="0" collapsed="false">
      <c r="A1" s="32" t="s">
        <v>52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true" outlineLevel="0" collapsed="false">
      <c r="A2" s="33" t="s">
        <v>53</v>
      </c>
      <c r="B2" s="33"/>
      <c r="C2" s="33"/>
      <c r="D2" s="33"/>
      <c r="E2" s="33"/>
      <c r="F2" s="33"/>
      <c r="G2" s="33"/>
      <c r="H2" s="33"/>
      <c r="I2" s="33"/>
    </row>
    <row r="4" customFormat="false" ht="15" hidden="false" customHeight="true" outlineLevel="0" collapsed="false">
      <c r="B4" s="34" t="s">
        <v>54</v>
      </c>
      <c r="C4" s="35" t="s">
        <v>4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55</v>
      </c>
      <c r="I4" s="34" t="s">
        <v>56</v>
      </c>
    </row>
    <row r="5" customFormat="false" ht="16.5" hidden="false" customHeight="true" outlineLevel="0" collapsed="false">
      <c r="B5" s="36" t="s">
        <v>57</v>
      </c>
      <c r="C5" s="36"/>
      <c r="D5" s="36"/>
      <c r="E5" s="36"/>
      <c r="F5" s="36"/>
      <c r="G5" s="36"/>
      <c r="H5" s="36"/>
      <c r="I5" s="36"/>
    </row>
    <row r="6" customFormat="false" ht="15" hidden="false" customHeight="true" outlineLevel="0" collapsed="false">
      <c r="B6" s="37" t="s">
        <v>58</v>
      </c>
      <c r="C6" s="8" t="n">
        <f aca="false">'① 가정'!G22</f>
        <v>5</v>
      </c>
      <c r="D6" s="8" t="n">
        <f aca="false">'① 가정'!G23</f>
        <v>15</v>
      </c>
      <c r="E6" s="8" t="n">
        <f aca="false">'① 가정'!G24</f>
        <v>60</v>
      </c>
      <c r="F6" s="8" t="n">
        <f aca="false">'① 가정'!G25</f>
        <v>150</v>
      </c>
      <c r="G6" s="8" t="n">
        <f aca="false">'① 가정'!G26</f>
        <v>300</v>
      </c>
      <c r="H6" s="38" t="n">
        <f aca="false">SUM(C6:G6)</f>
        <v>530</v>
      </c>
      <c r="I6" s="15" t="s">
        <v>59</v>
      </c>
    </row>
    <row r="8" customFormat="false" ht="16.5" hidden="false" customHeight="true" outlineLevel="0" collapsed="false">
      <c r="B8" s="39" t="s">
        <v>60</v>
      </c>
      <c r="C8" s="39"/>
      <c r="D8" s="39"/>
      <c r="E8" s="39"/>
      <c r="F8" s="39"/>
      <c r="G8" s="39"/>
      <c r="H8" s="39"/>
      <c r="I8" s="39"/>
    </row>
    <row r="9" customFormat="false" ht="15" hidden="false" customHeight="true" outlineLevel="0" collapsed="false">
      <c r="B9" s="40" t="s">
        <v>61</v>
      </c>
      <c r="C9" s="38" t="n">
        <f aca="false">ROUND(C6*'① 가정'!G27*'① 가정'!G19*(1+'① 가정'!C8)^0*'① 가정'!G30*'① 가정'!C6,0)</f>
        <v>837200</v>
      </c>
      <c r="D9" s="38" t="n">
        <f aca="false">ROUND(D6*'① 가정'!G27*'① 가정'!G19*(1+'① 가정'!C8)^1*'① 가정'!G30*'① 가정'!C6,0)</f>
        <v>2637180</v>
      </c>
      <c r="E9" s="38" t="n">
        <f aca="false">ROUND(E6*'① 가정'!G27*'① 가정'!G19*(1+'① 가정'!C8)^2*'① 가정'!G30*'① 가정'!C6,0)</f>
        <v>11076156</v>
      </c>
      <c r="F9" s="38" t="n">
        <f aca="false">ROUND(F6*'① 가정'!G27*'① 가정'!G19*(1+'① 가정'!C8)^3*'① 가정'!G30*'① 가정'!C6,0)</f>
        <v>29074910</v>
      </c>
      <c r="G9" s="38" t="n">
        <f aca="false">ROUND(G6*'① 가정'!G27*'① 가정'!G19*(1+'① 가정'!C8)^4*'① 가정'!G30*'① 가정'!C6,0)</f>
        <v>61057310</v>
      </c>
      <c r="H9" s="38" t="n">
        <f aca="false">SUM(C9:G9)</f>
        <v>104682756</v>
      </c>
      <c r="I9" s="41" t="s">
        <v>62</v>
      </c>
    </row>
    <row r="10" customFormat="false" ht="15" hidden="false" customHeight="true" outlineLevel="0" collapsed="false">
      <c r="B10" s="40" t="s">
        <v>63</v>
      </c>
      <c r="C10" s="38" t="n">
        <f aca="false">ROUND(C6*'① 가정'!G28*'① 가정'!G20*(1+'① 가정'!C8)^0*'① 가정'!G30*'① 가정'!C6,0)</f>
        <v>1342320</v>
      </c>
      <c r="D10" s="38" t="n">
        <f aca="false">ROUND(D6*'① 가정'!G28*'① 가정'!G20*(1+'① 가정'!C8)^1*'① 가정'!G30*'① 가정'!C6,0)</f>
        <v>4228308</v>
      </c>
      <c r="E10" s="38" t="n">
        <f aca="false">ROUND(E6*'① 가정'!G28*'① 가정'!G20*(1+'① 가정'!C8)^2*'① 가정'!G30*'① 가정'!C6,0)</f>
        <v>17758894</v>
      </c>
      <c r="F10" s="38" t="n">
        <f aca="false">ROUND(F6*'① 가정'!G28*'① 가정'!G20*(1+'① 가정'!C8)^3*'① 가정'!G30*'① 가정'!C6,0)</f>
        <v>46617096</v>
      </c>
      <c r="G10" s="38" t="n">
        <f aca="false">ROUND(G6*'① 가정'!G28*'① 가정'!G20*(1+'① 가정'!C8)^4*'① 가정'!G30*'① 가정'!C6,0)</f>
        <v>97895901</v>
      </c>
      <c r="H10" s="38" t="n">
        <f aca="false">SUM(C10:G10)</f>
        <v>167842519</v>
      </c>
      <c r="I10" s="41" t="s">
        <v>62</v>
      </c>
    </row>
    <row r="11" customFormat="false" ht="15" hidden="false" customHeight="true" outlineLevel="0" collapsed="false">
      <c r="B11" s="40" t="s">
        <v>64</v>
      </c>
      <c r="C11" s="38" t="n">
        <f aca="false">ROUND(C6*'① 가정'!G29*'① 가정'!G21*(1+'① 가정'!C8)^0*'① 가정'!G30*'① 가정'!C6,0)</f>
        <v>558880</v>
      </c>
      <c r="D11" s="38" t="n">
        <f aca="false">ROUND(D6*'① 가정'!G29*'① 가정'!G21*(1+'① 가정'!C8)^1*'① 가정'!G30*'① 가정'!C6,0)</f>
        <v>1760472</v>
      </c>
      <c r="E11" s="38" t="n">
        <f aca="false">ROUND(E6*'① 가정'!G29*'① 가정'!G21*(1+'① 가정'!C8)^2*'① 가정'!G30*'① 가정'!C6,0)</f>
        <v>7393982</v>
      </c>
      <c r="F11" s="38" t="n">
        <f aca="false">ROUND(F6*'① 가정'!G29*'① 가정'!G21*(1+'① 가정'!C8)^3*'① 가정'!G30*'① 가정'!C6,0)</f>
        <v>19409204</v>
      </c>
      <c r="G11" s="38" t="n">
        <f aca="false">ROUND(G6*'① 가정'!G29*'① 가정'!G21*(1+'① 가정'!C8)^4*'① 가정'!G30*'① 가정'!C6,0)</f>
        <v>40759328</v>
      </c>
      <c r="H11" s="38" t="n">
        <f aca="false">SUM(C11:G11)</f>
        <v>69881866</v>
      </c>
      <c r="I11" s="41" t="s">
        <v>62</v>
      </c>
    </row>
    <row r="12" customFormat="false" ht="15" hidden="false" customHeight="true" outlineLevel="0" collapsed="false">
      <c r="B12" s="42" t="s">
        <v>65</v>
      </c>
      <c r="C12" s="43" t="n">
        <f aca="false">C9+C10+C11</f>
        <v>2738400</v>
      </c>
      <c r="D12" s="43" t="n">
        <f aca="false">D9+D10+D11</f>
        <v>8625960</v>
      </c>
      <c r="E12" s="43" t="n">
        <f aca="false">E9+E10+E11</f>
        <v>36229032</v>
      </c>
      <c r="F12" s="43" t="n">
        <f aca="false">F9+F10+F11</f>
        <v>95101210</v>
      </c>
      <c r="G12" s="43" t="n">
        <f aca="false">G9+G10+G11</f>
        <v>199712539</v>
      </c>
      <c r="H12" s="43" t="n">
        <f aca="false">SUM(C12:G12)</f>
        <v>342407141</v>
      </c>
      <c r="I12" s="41" t="s">
        <v>62</v>
      </c>
    </row>
  </sheetData>
  <mergeCells count="4">
    <mergeCell ref="A1:I1"/>
    <mergeCell ref="A2:I2"/>
    <mergeCell ref="B5:I5"/>
    <mergeCell ref="B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4"/>
    <col collapsed="false" customWidth="true" hidden="false" outlineLevel="0" max="8" min="8" style="1" width="16"/>
    <col collapsed="false" customWidth="true" hidden="false" outlineLevel="0" max="9" min="9" style="1" width="12"/>
  </cols>
  <sheetData>
    <row r="1" customFormat="false" ht="36" hidden="false" customHeight="true" outlineLevel="0" collapsed="false">
      <c r="A1" s="44" t="s">
        <v>66</v>
      </c>
      <c r="B1" s="44"/>
      <c r="C1" s="44"/>
      <c r="D1" s="44"/>
      <c r="E1" s="44"/>
      <c r="F1" s="44"/>
      <c r="G1" s="44"/>
      <c r="H1" s="44"/>
      <c r="I1" s="44"/>
    </row>
    <row r="2" customFormat="false" ht="15" hidden="false" customHeight="true" outlineLevel="0" collapsed="false">
      <c r="A2" s="45" t="s">
        <v>67</v>
      </c>
      <c r="B2" s="45"/>
      <c r="C2" s="45"/>
      <c r="D2" s="45"/>
      <c r="E2" s="45"/>
      <c r="F2" s="45"/>
      <c r="G2" s="45"/>
      <c r="H2" s="45"/>
      <c r="I2" s="45"/>
    </row>
    <row r="4" customFormat="false" ht="15" hidden="false" customHeight="true" outlineLevel="0" collapsed="false">
      <c r="B4" s="46" t="s">
        <v>54</v>
      </c>
      <c r="C4" s="47" t="s">
        <v>4</v>
      </c>
      <c r="D4" s="47" t="s">
        <v>5</v>
      </c>
      <c r="E4" s="47" t="s">
        <v>6</v>
      </c>
      <c r="F4" s="47" t="s">
        <v>7</v>
      </c>
      <c r="G4" s="47" t="s">
        <v>8</v>
      </c>
      <c r="H4" s="47" t="s">
        <v>55</v>
      </c>
      <c r="I4" s="46" t="s">
        <v>56</v>
      </c>
    </row>
    <row r="5" customFormat="false" ht="16.5" hidden="false" customHeight="true" outlineLevel="0" collapsed="false">
      <c r="B5" s="48" t="s">
        <v>68</v>
      </c>
      <c r="C5" s="48"/>
      <c r="D5" s="48"/>
      <c r="E5" s="48"/>
      <c r="F5" s="48"/>
      <c r="G5" s="48"/>
      <c r="H5" s="48"/>
      <c r="I5" s="48"/>
    </row>
    <row r="6" customFormat="false" ht="15" hidden="false" customHeight="true" outlineLevel="0" collapsed="false">
      <c r="B6" s="49" t="s">
        <v>69</v>
      </c>
      <c r="C6" s="50" t="n">
        <v>9000</v>
      </c>
      <c r="D6" s="50" t="n">
        <v>15000</v>
      </c>
      <c r="E6" s="50" t="n">
        <v>25000</v>
      </c>
      <c r="F6" s="50" t="n">
        <v>38000</v>
      </c>
      <c r="G6" s="50" t="n">
        <v>55000</v>
      </c>
      <c r="H6" s="38" t="n">
        <f aca="false">G6</f>
        <v>55000</v>
      </c>
      <c r="I6" s="15" t="s">
        <v>70</v>
      </c>
    </row>
    <row r="7" customFormat="false" ht="15" hidden="false" customHeight="true" outlineLevel="0" collapsed="false">
      <c r="B7" s="49" t="s">
        <v>71</v>
      </c>
      <c r="C7" s="38" t="n">
        <f aca="false">ROUND(C6*'① 가정'!G8*12,0)</f>
        <v>8640</v>
      </c>
      <c r="D7" s="38" t="n">
        <f aca="false">ROUND(D6*'① 가정'!G8*12,0)</f>
        <v>14400</v>
      </c>
      <c r="E7" s="38" t="n">
        <f aca="false">ROUND(E6*'① 가정'!G8*12,0)</f>
        <v>24000</v>
      </c>
      <c r="F7" s="38" t="n">
        <f aca="false">ROUND(F6*'① 가정'!G8*12,0)</f>
        <v>36480</v>
      </c>
      <c r="G7" s="38" t="n">
        <f aca="false">ROUND(G6*'① 가정'!G8*12,0)</f>
        <v>52800</v>
      </c>
      <c r="H7" s="38" t="n">
        <f aca="false">SUM(C7:G7)</f>
        <v>136320</v>
      </c>
      <c r="I7" s="15" t="s">
        <v>72</v>
      </c>
    </row>
    <row r="8" customFormat="false" ht="15" hidden="false" customHeight="true" outlineLevel="0" collapsed="false">
      <c r="B8" s="49" t="s">
        <v>73</v>
      </c>
      <c r="C8" s="38" t="n">
        <f aca="false">ROUND(C7*('① 가정'!G9-1),0)</f>
        <v>3456</v>
      </c>
      <c r="D8" s="38" t="n">
        <f aca="false">ROUND(D7*('① 가정'!G9-1),0)</f>
        <v>5760</v>
      </c>
      <c r="E8" s="38" t="n">
        <f aca="false">ROUND(E7*('① 가정'!G9-1),0)</f>
        <v>9600</v>
      </c>
      <c r="F8" s="38" t="n">
        <f aca="false">ROUND(F7*('① 가정'!G9-1),0)</f>
        <v>14592</v>
      </c>
      <c r="G8" s="38" t="n">
        <f aca="false">ROUND(G7*('① 가정'!G9-1),0)</f>
        <v>21120</v>
      </c>
      <c r="H8" s="38" t="n">
        <f aca="false">SUM(C8:G8)</f>
        <v>54528</v>
      </c>
      <c r="I8" s="15" t="s">
        <v>72</v>
      </c>
    </row>
    <row r="9" customFormat="false" ht="15" hidden="false" customHeight="true" outlineLevel="0" collapsed="false">
      <c r="B9" s="14" t="s">
        <v>74</v>
      </c>
      <c r="C9" s="43" t="n">
        <f aca="false">C7+C8</f>
        <v>12096</v>
      </c>
      <c r="D9" s="43" t="n">
        <f aca="false">D7+D8</f>
        <v>20160</v>
      </c>
      <c r="E9" s="43" t="n">
        <f aca="false">E7+E8</f>
        <v>33600</v>
      </c>
      <c r="F9" s="43" t="n">
        <f aca="false">F7+F8</f>
        <v>51072</v>
      </c>
      <c r="G9" s="43" t="n">
        <f aca="false">G7+G8</f>
        <v>73920</v>
      </c>
      <c r="H9" s="43" t="n">
        <f aca="false">SUM(C9:G9)</f>
        <v>190848</v>
      </c>
      <c r="I9" s="15" t="s">
        <v>72</v>
      </c>
    </row>
    <row r="11" customFormat="false" ht="16.5" hidden="false" customHeight="true" outlineLevel="0" collapsed="false">
      <c r="B11" s="51" t="s">
        <v>75</v>
      </c>
      <c r="C11" s="51"/>
      <c r="D11" s="51"/>
      <c r="E11" s="51"/>
      <c r="F11" s="51"/>
      <c r="G11" s="51"/>
      <c r="H11" s="51"/>
      <c r="I11" s="51"/>
    </row>
    <row r="12" customFormat="false" ht="15" hidden="false" customHeight="true" outlineLevel="0" collapsed="false">
      <c r="B12" s="49" t="s">
        <v>76</v>
      </c>
      <c r="C12" s="38" t="n">
        <f aca="false">ROUND(C9*'① 가정'!G12*'① 가정'!G10*(1+'① 가정'!C8)^0*'① 가정'!G14*'① 가정'!C6,0)</f>
        <v>123007248</v>
      </c>
      <c r="D12" s="38" t="n">
        <f aca="false">ROUND(D9*'① 가정'!G12*'① 가정'!G10*(1+'① 가정'!C8)^1*'① 가정'!G14*'① 가정'!C6,0)</f>
        <v>215262684</v>
      </c>
      <c r="E12" s="38" t="n">
        <f aca="false">ROUND(E9*'① 가정'!G12*'① 가정'!G10*(1+'① 가정'!C8)^2*'① 가정'!G14*'① 가정'!C6,0)</f>
        <v>376709697</v>
      </c>
      <c r="F12" s="38" t="n">
        <f aca="false">ROUND(F9*'① 가정'!G12*'① 가정'!G10*(1+'① 가정'!C8)^3*'① 가정'!G14*'① 가정'!C6,0)</f>
        <v>601228676</v>
      </c>
      <c r="G12" s="38" t="n">
        <f aca="false">ROUND(G9*'① 가정'!G12*'① 가정'!G10*(1+'① 가정'!C8)^4*'① 가정'!G14*'① 가정'!C6,0)</f>
        <v>913709370</v>
      </c>
      <c r="H12" s="38" t="n">
        <f aca="false">SUM(C12:G12)</f>
        <v>2229917675</v>
      </c>
      <c r="I12" s="41" t="s">
        <v>62</v>
      </c>
    </row>
    <row r="13" customFormat="false" ht="15" hidden="false" customHeight="true" outlineLevel="0" collapsed="false">
      <c r="B13" s="49" t="s">
        <v>77</v>
      </c>
      <c r="C13" s="38" t="n">
        <f aca="false">ROUND(C9*'① 가정'!G13*'① 가정'!G11*(1+'① 가정'!C8)^0*'① 가정'!G14*'① 가정'!C6,0)</f>
        <v>110687472</v>
      </c>
      <c r="D13" s="38" t="n">
        <f aca="false">ROUND(D9*'① 가정'!G13*'① 가정'!G11*(1+'① 가정'!C8)^1*'① 가정'!G14*'① 가정'!C6,0)</f>
        <v>193703076</v>
      </c>
      <c r="E13" s="38" t="n">
        <f aca="false">ROUND(E9*'① 가정'!G13*'① 가정'!G11*(1+'① 가정'!C8)^2*'① 가정'!G14*'① 가정'!C6,0)</f>
        <v>338980383</v>
      </c>
      <c r="F13" s="38" t="n">
        <f aca="false">ROUND(F9*'① 가정'!G13*'① 가정'!G11*(1+'① 가정'!C8)^3*'① 가정'!G14*'① 가정'!C6,0)</f>
        <v>541012691</v>
      </c>
      <c r="G13" s="38" t="n">
        <f aca="false">ROUND(G9*'① 가정'!G13*'① 가정'!G11*(1+'① 가정'!C8)^4*'① 가정'!G14*'① 가정'!C6,0)</f>
        <v>822196919</v>
      </c>
      <c r="H13" s="38" t="n">
        <f aca="false">SUM(C13:G13)</f>
        <v>2006580541</v>
      </c>
      <c r="I13" s="41" t="s">
        <v>62</v>
      </c>
    </row>
    <row r="14" customFormat="false" ht="15" hidden="false" customHeight="true" outlineLevel="0" collapsed="false">
      <c r="B14" s="52" t="s">
        <v>78</v>
      </c>
      <c r="C14" s="53" t="n">
        <f aca="false">-ROUND('① 가정'!G15*12*'① 가정'!C6,0)</f>
        <v>-8400000</v>
      </c>
      <c r="D14" s="53" t="n">
        <f aca="false">-ROUND('① 가정'!G15*12*'① 가정'!C6,0)</f>
        <v>-8400000</v>
      </c>
      <c r="E14" s="53" t="n">
        <f aca="false">-ROUND('① 가정'!G15*12*'① 가정'!C6,0)</f>
        <v>-8400000</v>
      </c>
      <c r="F14" s="53" t="n">
        <f aca="false">-ROUND('① 가정'!G15*12*'① 가정'!C6,0)</f>
        <v>-8400000</v>
      </c>
      <c r="G14" s="53" t="n">
        <f aca="false">-ROUND('① 가정'!G15*12*'① 가정'!C6,0)</f>
        <v>-8400000</v>
      </c>
      <c r="H14" s="53" t="n">
        <f aca="false">SUM(C14:G14)</f>
        <v>-42000000</v>
      </c>
      <c r="I14" s="41" t="s">
        <v>62</v>
      </c>
    </row>
    <row r="15" customFormat="false" ht="15" hidden="false" customHeight="true" outlineLevel="0" collapsed="false">
      <c r="B15" s="54" t="s">
        <v>79</v>
      </c>
      <c r="C15" s="43" t="n">
        <f aca="false">C12+C13+C14</f>
        <v>225294720</v>
      </c>
      <c r="D15" s="43" t="n">
        <f aca="false">D12+D13+D14</f>
        <v>400565760</v>
      </c>
      <c r="E15" s="43" t="n">
        <f aca="false">E12+E13+E14</f>
        <v>707290080</v>
      </c>
      <c r="F15" s="43" t="n">
        <f aca="false">F12+F13+F14</f>
        <v>1133841367</v>
      </c>
      <c r="G15" s="43" t="n">
        <f aca="false">G12+G13+G14</f>
        <v>1727506289</v>
      </c>
      <c r="H15" s="43" t="n">
        <f aca="false">SUM(C15:G15)</f>
        <v>4194498216</v>
      </c>
      <c r="I15" s="41" t="s">
        <v>62</v>
      </c>
    </row>
  </sheetData>
  <mergeCells count="4">
    <mergeCell ref="A1:I1"/>
    <mergeCell ref="A2:I2"/>
    <mergeCell ref="B5:I5"/>
    <mergeCell ref="B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16"/>
    <col collapsed="false" customWidth="true" hidden="false" outlineLevel="0" max="9" min="9" style="1" width="12"/>
  </cols>
  <sheetData>
    <row r="1" customFormat="false" ht="36" hidden="false" customHeight="true" outlineLevel="0" collapsed="false">
      <c r="A1" s="55" t="s">
        <v>80</v>
      </c>
      <c r="B1" s="55"/>
      <c r="C1" s="55"/>
      <c r="D1" s="55"/>
      <c r="E1" s="55"/>
      <c r="F1" s="55"/>
      <c r="G1" s="55"/>
      <c r="H1" s="55"/>
      <c r="I1" s="55"/>
    </row>
    <row r="2" customFormat="false" ht="15" hidden="false" customHeight="true" outlineLevel="0" collapsed="false">
      <c r="A2" s="56" t="s">
        <v>81</v>
      </c>
      <c r="B2" s="56"/>
      <c r="C2" s="56"/>
      <c r="D2" s="56"/>
      <c r="E2" s="56"/>
      <c r="F2" s="56"/>
      <c r="G2" s="56"/>
      <c r="H2" s="56"/>
      <c r="I2" s="56"/>
    </row>
    <row r="4" customFormat="false" ht="15" hidden="false" customHeight="true" outlineLevel="0" collapsed="false">
      <c r="B4" s="57" t="s">
        <v>54</v>
      </c>
      <c r="C4" s="58" t="s">
        <v>4</v>
      </c>
      <c r="D4" s="58" t="s">
        <v>5</v>
      </c>
      <c r="E4" s="58" t="s">
        <v>6</v>
      </c>
      <c r="F4" s="58" t="s">
        <v>7</v>
      </c>
      <c r="G4" s="58" t="s">
        <v>8</v>
      </c>
      <c r="H4" s="58" t="s">
        <v>55</v>
      </c>
      <c r="I4" s="57" t="s">
        <v>56</v>
      </c>
    </row>
    <row r="5" customFormat="false" ht="16.5" hidden="false" customHeight="true" outlineLevel="0" collapsed="false">
      <c r="B5" s="48" t="s">
        <v>82</v>
      </c>
      <c r="C5" s="48"/>
      <c r="D5" s="48"/>
      <c r="E5" s="48"/>
      <c r="F5" s="48"/>
      <c r="G5" s="48"/>
      <c r="H5" s="48"/>
      <c r="I5" s="48"/>
    </row>
    <row r="6" customFormat="false" ht="15" hidden="false" customHeight="true" outlineLevel="0" collapsed="false">
      <c r="B6" s="59" t="s">
        <v>83</v>
      </c>
      <c r="C6" s="8" t="n">
        <f aca="false">'① 가정'!C12</f>
        <v>60</v>
      </c>
      <c r="D6" s="38" t="n">
        <f aca="false">ROUND(C6*(1-'① 가정'!C14)*(1+'① 가정'!C13*12),0)</f>
        <v>173</v>
      </c>
      <c r="E6" s="38" t="n">
        <f aca="false">ROUND(D6*(1-'① 가정'!C14)*(1+'① 가정'!C13*12),0)</f>
        <v>500</v>
      </c>
      <c r="F6" s="38" t="n">
        <f aca="false">ROUND(E6*(1-'① 가정'!C14)*(1+'① 가정'!C13*12),0)</f>
        <v>1445</v>
      </c>
      <c r="G6" s="38" t="n">
        <f aca="false">ROUND(F6*(1-'① 가정'!C14)*(1+'① 가정'!C13*12),0)</f>
        <v>4176</v>
      </c>
      <c r="H6" s="38" t="n">
        <f aca="false">G6</f>
        <v>4176</v>
      </c>
      <c r="I6" s="15" t="s">
        <v>84</v>
      </c>
    </row>
    <row r="7" customFormat="false" ht="15" hidden="false" customHeight="true" outlineLevel="0" collapsed="false">
      <c r="B7" s="59" t="s">
        <v>85</v>
      </c>
      <c r="C7" s="38" t="n">
        <f aca="false">ROUND(C6*'① 가정'!C15,0)</f>
        <v>42</v>
      </c>
      <c r="D7" s="38" t="n">
        <f aca="false">ROUND(D6*'① 가정'!C15,0)</f>
        <v>121</v>
      </c>
      <c r="E7" s="38" t="n">
        <f aca="false">ROUND(E6*'① 가정'!C15,0)</f>
        <v>350</v>
      </c>
      <c r="F7" s="38" t="n">
        <f aca="false">ROUND(F6*'① 가정'!C15,0)</f>
        <v>1012</v>
      </c>
      <c r="G7" s="38" t="n">
        <f aca="false">ROUND(G6*'① 가정'!C15,0)</f>
        <v>2923</v>
      </c>
      <c r="H7" s="38" t="n">
        <f aca="false">G7</f>
        <v>2923</v>
      </c>
      <c r="I7" s="15" t="s">
        <v>84</v>
      </c>
    </row>
    <row r="8" customFormat="false" ht="15" hidden="false" customHeight="true" outlineLevel="0" collapsed="false">
      <c r="B8" s="59" t="s">
        <v>86</v>
      </c>
      <c r="C8" s="38" t="n">
        <f aca="false">ROUND(C7*0.2,0)</f>
        <v>8</v>
      </c>
      <c r="D8" s="38" t="n">
        <f aca="false">ROUND(D7*0.2,0)</f>
        <v>24</v>
      </c>
      <c r="E8" s="38" t="n">
        <f aca="false">ROUND(E7*0.2,0)</f>
        <v>70</v>
      </c>
      <c r="F8" s="38" t="n">
        <f aca="false">ROUND(F7*0.2,0)</f>
        <v>202</v>
      </c>
      <c r="G8" s="38" t="n">
        <f aca="false">ROUND(G7*0.2,0)</f>
        <v>585</v>
      </c>
      <c r="H8" s="38" t="n">
        <f aca="false">G8</f>
        <v>585</v>
      </c>
      <c r="I8" s="15" t="s">
        <v>84</v>
      </c>
    </row>
    <row r="10" customFormat="false" ht="16.5" hidden="false" customHeight="true" outlineLevel="0" collapsed="false">
      <c r="B10" s="60" t="s">
        <v>87</v>
      </c>
      <c r="C10" s="60"/>
      <c r="D10" s="60"/>
      <c r="E10" s="60"/>
      <c r="F10" s="60"/>
      <c r="G10" s="60"/>
      <c r="H10" s="60"/>
      <c r="I10" s="60"/>
    </row>
    <row r="11" customFormat="false" ht="15" hidden="false" customHeight="true" outlineLevel="0" collapsed="false">
      <c r="B11" s="61" t="s">
        <v>88</v>
      </c>
      <c r="C11" s="38" t="n">
        <f aca="false">ROUND(C8*'① 가정'!C16+(C7-C8)*0.75*'① 가정'!C17+(C7-C8)*0.25*'① 가정'!C18,0)</f>
        <v>362</v>
      </c>
      <c r="D11" s="38" t="n">
        <f aca="false">ROUND(D8*'① 가정'!C16+(D7-D8)*0.75*'① 가정'!C17+(D7-D8)*0.25*'① 가정'!C18,0)</f>
        <v>1061</v>
      </c>
      <c r="E11" s="38" t="n">
        <f aca="false">ROUND(E8*'① 가정'!C16+(E7-E8)*0.75*'① 가정'!C17+(E7-E8)*0.25*'① 가정'!C18,0)</f>
        <v>3080</v>
      </c>
      <c r="F11" s="38" t="n">
        <f aca="false">ROUND(F8*'① 가정'!C16+(F7-F8)*0.75*'① 가정'!C17+(F7-F8)*0.25*'① 가정'!C18,0)</f>
        <v>8898</v>
      </c>
      <c r="G11" s="38" t="n">
        <f aca="false">ROUND(G8*'① 가정'!C16+(G7-G8)*0.75*'① 가정'!C17+(G7-G8)*0.25*'① 가정'!C18,0)</f>
        <v>25731</v>
      </c>
      <c r="H11" s="38" t="n">
        <f aca="false">SUM(C11:G11)</f>
        <v>39132</v>
      </c>
      <c r="I11" s="15" t="s">
        <v>89</v>
      </c>
    </row>
    <row r="12" customFormat="false" ht="15" hidden="false" customHeight="true" outlineLevel="0" collapsed="false">
      <c r="B12" s="14" t="s">
        <v>90</v>
      </c>
      <c r="C12" s="43" t="n">
        <f aca="false">C11*12</f>
        <v>4344</v>
      </c>
      <c r="D12" s="43" t="n">
        <f aca="false">D11*12</f>
        <v>12732</v>
      </c>
      <c r="E12" s="43" t="n">
        <f aca="false">E11*12</f>
        <v>36960</v>
      </c>
      <c r="F12" s="43" t="n">
        <f aca="false">F11*12</f>
        <v>106776</v>
      </c>
      <c r="G12" s="43" t="n">
        <f aca="false">G11*12</f>
        <v>308772</v>
      </c>
      <c r="H12" s="43" t="n">
        <f aca="false">SUM(C12:G12)</f>
        <v>469584</v>
      </c>
      <c r="I12" s="15" t="s">
        <v>91</v>
      </c>
    </row>
    <row r="14" customFormat="false" ht="16.5" hidden="false" customHeight="true" outlineLevel="0" collapsed="false">
      <c r="B14" s="60" t="s">
        <v>92</v>
      </c>
      <c r="C14" s="60"/>
      <c r="D14" s="60"/>
      <c r="E14" s="60"/>
      <c r="F14" s="60"/>
      <c r="G14" s="60"/>
      <c r="H14" s="60"/>
      <c r="I14" s="60"/>
    </row>
    <row r="15" customFormat="false" ht="15" hidden="false" customHeight="true" outlineLevel="0" collapsed="false">
      <c r="B15" s="62" t="s">
        <v>93</v>
      </c>
      <c r="C15" s="38" t="n">
        <f aca="false">ROUND(C12*'① 가정'!C28,0)</f>
        <v>1216</v>
      </c>
      <c r="D15" s="38" t="n">
        <f aca="false">ROUND(D12*'① 가정'!C28,0)</f>
        <v>3565</v>
      </c>
      <c r="E15" s="38" t="n">
        <f aca="false">ROUND(E12*'① 가정'!C28,0)</f>
        <v>10349</v>
      </c>
      <c r="F15" s="38" t="n">
        <f aca="false">ROUND(F12*'① 가정'!C28,0)</f>
        <v>29897</v>
      </c>
      <c r="G15" s="38" t="n">
        <f aca="false">ROUND(G12*'① 가정'!C28,0)</f>
        <v>86456</v>
      </c>
      <c r="H15" s="38" t="n">
        <f aca="false">SUM(C15:G15)</f>
        <v>131483</v>
      </c>
      <c r="I15" s="15" t="s">
        <v>91</v>
      </c>
    </row>
    <row r="16" customFormat="false" ht="15" hidden="false" customHeight="true" outlineLevel="0" collapsed="false">
      <c r="B16" s="62" t="s">
        <v>94</v>
      </c>
      <c r="C16" s="38" t="n">
        <f aca="false">ROUND(C12*'① 가정'!C29,0)</f>
        <v>521</v>
      </c>
      <c r="D16" s="38" t="n">
        <f aca="false">ROUND(D12*'① 가정'!C29,0)</f>
        <v>1528</v>
      </c>
      <c r="E16" s="38" t="n">
        <f aca="false">ROUND(E12*'① 가정'!C29,0)</f>
        <v>4435</v>
      </c>
      <c r="F16" s="38" t="n">
        <f aca="false">ROUND(F12*'① 가정'!C29,0)</f>
        <v>12813</v>
      </c>
      <c r="G16" s="38" t="n">
        <f aca="false">ROUND(G12*'① 가정'!C29,0)</f>
        <v>37053</v>
      </c>
      <c r="H16" s="38" t="n">
        <f aca="false">SUM(C16:G16)</f>
        <v>56350</v>
      </c>
      <c r="I16" s="15" t="s">
        <v>91</v>
      </c>
    </row>
    <row r="17" customFormat="false" ht="15" hidden="false" customHeight="true" outlineLevel="0" collapsed="false">
      <c r="B17" s="61" t="s">
        <v>95</v>
      </c>
      <c r="C17" s="38" t="n">
        <f aca="false">ROUND(C12*'① 가정'!C30,0)</f>
        <v>782</v>
      </c>
      <c r="D17" s="38" t="n">
        <f aca="false">ROUND(D12*'① 가정'!C30,0)</f>
        <v>2292</v>
      </c>
      <c r="E17" s="38" t="n">
        <f aca="false">ROUND(E12*'① 가정'!C30,0)</f>
        <v>6653</v>
      </c>
      <c r="F17" s="38" t="n">
        <f aca="false">ROUND(F12*'① 가정'!C30,0)</f>
        <v>19220</v>
      </c>
      <c r="G17" s="38" t="n">
        <f aca="false">ROUND(G12*'① 가정'!C30,0)</f>
        <v>55579</v>
      </c>
      <c r="H17" s="38" t="n">
        <f aca="false">SUM(C17:G17)</f>
        <v>84526</v>
      </c>
      <c r="I17" s="15" t="s">
        <v>91</v>
      </c>
    </row>
    <row r="18" customFormat="false" ht="15" hidden="false" customHeight="true" outlineLevel="0" collapsed="false">
      <c r="B18" s="62" t="s">
        <v>96</v>
      </c>
      <c r="C18" s="38" t="n">
        <f aca="false">ROUND(C12*'① 가정'!C22*(1+'① 가정'!C8)^0*(1-'① 가정'!C7)*(1-'① 가정'!D22)*'① 가정'!C6,0)</f>
        <v>21041363</v>
      </c>
      <c r="D18" s="38" t="n">
        <f aca="false">ROUND(D12*'① 가정'!C22*(1+'① 가정'!C8)^1*(1-'① 가정'!C7)*(1-'① 가정'!D22)*'① 가정'!C6,0)</f>
        <v>64754504</v>
      </c>
      <c r="E18" s="38" t="n">
        <f aca="false">ROUND(E12*'① 가정'!C22*(1+'① 가정'!C8)^2*(1-'① 가정'!C7)*(1-'① 가정'!D22)*'① 가정'!C6,0)</f>
        <v>197376122</v>
      </c>
      <c r="F18" s="38" t="n">
        <f aca="false">ROUND(F12*'① 가정'!C22*(1+'① 가정'!C8)^3*(1-'① 가정'!C7)*(1-'① 가정'!D22)*'① 가정'!C6,0)</f>
        <v>598722523</v>
      </c>
      <c r="G18" s="38" t="n">
        <f aca="false">ROUND(G12*'① 가정'!C22*(1+'① 가정'!C8)^4*(1-'① 가정'!C7)*(1-'① 가정'!D22)*'① 가정'!C6,0)</f>
        <v>1817938379</v>
      </c>
      <c r="H18" s="38" t="n">
        <f aca="false">SUM(C18:G18)</f>
        <v>2699832891</v>
      </c>
      <c r="I18" s="41" t="s">
        <v>62</v>
      </c>
    </row>
    <row r="19" customFormat="false" ht="15" hidden="false" customHeight="true" outlineLevel="0" collapsed="false">
      <c r="B19" s="62" t="s">
        <v>97</v>
      </c>
      <c r="C19" s="38" t="n">
        <f aca="false">ROUND(C15*'① 가정'!C23*(1+'① 가정'!C8)^0*(1-'① 가정'!C7)*(1-'① 가정'!D23)*'① 가정'!C6,0)</f>
        <v>15261931</v>
      </c>
      <c r="D19" s="38" t="n">
        <f aca="false">ROUND(D15*'① 가정'!C23*(1+'① 가정'!C8)^1*(1-'① 가정'!C7)*(1-'① 가정'!D23)*'① 가정'!C6,0)</f>
        <v>46981269</v>
      </c>
      <c r="E19" s="38" t="n">
        <f aca="false">ROUND(E15*'① 가정'!C23*(1+'① 가정'!C8)^2*(1-'① 가정'!C7)*(1-'① 가정'!D23)*'① 가정'!C6,0)</f>
        <v>143203256</v>
      </c>
      <c r="F19" s="38" t="n">
        <f aca="false">ROUND(F15*'① 가정'!C23*(1+'① 가정'!C8)^3*(1-'① 가정'!C7)*(1-'① 가정'!D23)*'① 가정'!C6,0)</f>
        <v>434381595</v>
      </c>
      <c r="G19" s="38" t="n">
        <f aca="false">ROUND(G15*'① 가정'!C23*(1+'① 가정'!C8)^4*(1-'① 가정'!C7)*(1-'① 가정'!D23)*'① 가정'!C6,0)</f>
        <v>1318949726</v>
      </c>
      <c r="H19" s="38" t="n">
        <f aca="false">SUM(C19:G19)</f>
        <v>1958777777</v>
      </c>
      <c r="I19" s="41" t="s">
        <v>62</v>
      </c>
    </row>
    <row r="20" customFormat="false" ht="15" hidden="false" customHeight="true" outlineLevel="0" collapsed="false">
      <c r="B20" s="62" t="s">
        <v>98</v>
      </c>
      <c r="C20" s="38" t="n">
        <f aca="false">ROUND(C16*'① 가정'!C24*(1+'① 가정'!C8)^0*(1-'① 가정'!C7)*(1-'① 가정'!D24)*'① 가정'!C6,0)</f>
        <v>11395664</v>
      </c>
      <c r="D20" s="38" t="n">
        <f aca="false">ROUND(D16*'① 가정'!C24*(1+'① 가정'!C8)^1*(1-'① 가정'!C7)*(1-'① 가정'!D24)*'① 가정'!C6,0)</f>
        <v>35092521</v>
      </c>
      <c r="E20" s="38" t="n">
        <f aca="false">ROUND(E16*'① 가정'!C24*(1+'① 가정'!C8)^2*(1-'① 가정'!C7)*(1-'① 가정'!D24)*'① 가정'!C6,0)</f>
        <v>106948363</v>
      </c>
      <c r="F20" s="38" t="n">
        <f aca="false">ROUND(F16*'① 가정'!C24*(1+'① 가정'!C8)^3*(1-'① 가정'!C7)*(1-'① 가정'!D24)*'① 가정'!C6,0)</f>
        <v>324429729</v>
      </c>
      <c r="G20" s="38" t="n">
        <f aca="false">ROUND(G16*'① 가정'!C24*(1+'① 가정'!C8)^4*(1-'① 가정'!C7)*(1-'① 가정'!D24)*'① 가정'!C6,0)</f>
        <v>985104930</v>
      </c>
      <c r="H20" s="38" t="n">
        <f aca="false">SUM(C20:G20)</f>
        <v>1462971207</v>
      </c>
      <c r="I20" s="41" t="s">
        <v>62</v>
      </c>
    </row>
    <row r="21" customFormat="false" ht="15" hidden="false" customHeight="true" outlineLevel="0" collapsed="false">
      <c r="B21" s="61" t="s">
        <v>99</v>
      </c>
      <c r="C21" s="38" t="n">
        <f aca="false">ROUND(C17*'① 가정'!C25*(1+'① 가정'!C8)^0*(1-'① 가정'!C7)*(1-'① 가정'!D25)*'① 가정'!C6,0)</f>
        <v>3906203</v>
      </c>
      <c r="D21" s="38" t="n">
        <f aca="false">ROUND(D17*'① 가정'!C25*(1+'① 가정'!C8)^1*(1-'① 가정'!C7)*(1-'① 가정'!D25)*'① 가정'!C6,0)</f>
        <v>12021314</v>
      </c>
      <c r="E21" s="38" t="n">
        <f aca="false">ROUND(E17*'① 가정'!C25*(1+'① 가정'!C8)^2*(1-'① 가정'!C7)*(1-'① 가정'!D25)*'① 가정'!C6,0)</f>
        <v>36639044</v>
      </c>
      <c r="F21" s="38" t="n">
        <f aca="false">ROUND(F17*'① 가정'!C25*(1+'① 가정'!C8)^3*(1-'① 가정'!C7)*(1-'① 가정'!D25)*'① 가정'!C6,0)</f>
        <v>111139719</v>
      </c>
      <c r="G21" s="38" t="n">
        <f aca="false">ROUND(G17*'① 가정'!C25*(1+'① 가정'!C8)^4*(1-'① 가정'!C7)*(1-'① 가정'!D25)*'① 가정'!C6,0)</f>
        <v>337455054</v>
      </c>
      <c r="H21" s="38" t="n">
        <f aca="false">SUM(C21:G21)</f>
        <v>501161334</v>
      </c>
      <c r="I21" s="41" t="s">
        <v>62</v>
      </c>
    </row>
    <row r="22" customFormat="false" ht="15" hidden="false" customHeight="true" outlineLevel="0" collapsed="false">
      <c r="B22" s="63" t="s">
        <v>100</v>
      </c>
      <c r="C22" s="43" t="n">
        <f aca="false">C18+C19+C20+C21</f>
        <v>51605161</v>
      </c>
      <c r="D22" s="43" t="n">
        <f aca="false">D18+D19+D20+D21</f>
        <v>158849608</v>
      </c>
      <c r="E22" s="43" t="n">
        <f aca="false">E18+E19+E20+E21</f>
        <v>484166785</v>
      </c>
      <c r="F22" s="43" t="n">
        <f aca="false">F18+F19+F20+F21</f>
        <v>1468673566</v>
      </c>
      <c r="G22" s="43" t="n">
        <f aca="false">G18+G19+G20+G21</f>
        <v>4459448089</v>
      </c>
      <c r="H22" s="43" t="n">
        <f aca="false">SUM(C22:G22)</f>
        <v>6622743209</v>
      </c>
      <c r="I22" s="41" t="s">
        <v>62</v>
      </c>
    </row>
  </sheetData>
  <mergeCells count="5">
    <mergeCell ref="A1:I1"/>
    <mergeCell ref="A2:I2"/>
    <mergeCell ref="B5:I5"/>
    <mergeCell ref="B10:I10"/>
    <mergeCell ref="B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5" min="5" style="1" width="2"/>
    <col collapsed="false" customWidth="true" hidden="false" outlineLevel="0" max="6" min="6" style="1" width="32"/>
    <col collapsed="false" customWidth="true" hidden="false" outlineLevel="0" max="7" min="7" style="1" width="16"/>
    <col collapsed="false" customWidth="true" hidden="false" outlineLevel="0" max="8" min="8" style="1" width="36"/>
  </cols>
  <sheetData>
    <row r="1" customFormat="false" ht="36" hidden="false" customHeight="true" outlineLevel="0" collapsed="false">
      <c r="A1" s="64" t="s">
        <v>101</v>
      </c>
      <c r="B1" s="64"/>
      <c r="C1" s="64"/>
      <c r="D1" s="64"/>
      <c r="E1" s="64"/>
      <c r="F1" s="64"/>
      <c r="G1" s="64"/>
      <c r="H1" s="64"/>
    </row>
    <row r="2" customFormat="false" ht="15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</row>
    <row r="4" customFormat="false" ht="16.5" hidden="false" customHeight="true" outlineLevel="0" collapsed="false">
      <c r="A4" s="16" t="s">
        <v>103</v>
      </c>
      <c r="B4" s="16"/>
      <c r="C4" s="16"/>
      <c r="D4" s="16"/>
      <c r="F4" s="51" t="s">
        <v>104</v>
      </c>
      <c r="G4" s="51"/>
      <c r="H4" s="51"/>
    </row>
    <row r="5" customFormat="false" ht="15" hidden="false" customHeight="true" outlineLevel="0" collapsed="false">
      <c r="B5" s="17" t="s">
        <v>105</v>
      </c>
      <c r="C5" s="17" t="s">
        <v>106</v>
      </c>
      <c r="D5" s="17" t="s">
        <v>19</v>
      </c>
      <c r="F5" s="17" t="s">
        <v>105</v>
      </c>
      <c r="G5" s="17" t="s">
        <v>106</v>
      </c>
      <c r="H5" s="17" t="s">
        <v>19</v>
      </c>
    </row>
    <row r="6" customFormat="false" ht="15" hidden="false" customHeight="true" outlineLevel="0" collapsed="false">
      <c r="B6" s="59" t="s">
        <v>107</v>
      </c>
      <c r="C6" s="65" t="n">
        <v>1400</v>
      </c>
      <c r="D6" s="41" t="s">
        <v>108</v>
      </c>
      <c r="F6" s="49" t="s">
        <v>109</v>
      </c>
      <c r="G6" s="65" t="n">
        <v>5000</v>
      </c>
      <c r="H6" s="41" t="s">
        <v>110</v>
      </c>
    </row>
    <row r="7" customFormat="false" ht="15" hidden="false" customHeight="true" outlineLevel="0" collapsed="false">
      <c r="B7" s="19" t="s">
        <v>111</v>
      </c>
      <c r="C7" s="66" t="n">
        <v>0.099</v>
      </c>
      <c r="D7" s="41" t="s">
        <v>112</v>
      </c>
      <c r="F7" s="49" t="s">
        <v>113</v>
      </c>
      <c r="G7" s="66" t="n">
        <v>0.15</v>
      </c>
      <c r="H7" s="15" t="s">
        <v>114</v>
      </c>
    </row>
    <row r="8" customFormat="false" ht="15" hidden="false" customHeight="true" outlineLevel="0" collapsed="false">
      <c r="B8" s="59" t="s">
        <v>115</v>
      </c>
      <c r="C8" s="66" t="n">
        <v>0.05</v>
      </c>
      <c r="D8" s="15" t="s">
        <v>116</v>
      </c>
      <c r="F8" s="49" t="s">
        <v>117</v>
      </c>
      <c r="G8" s="66" t="n">
        <v>0.08</v>
      </c>
      <c r="H8" s="15" t="s">
        <v>118</v>
      </c>
    </row>
    <row r="9" customFormat="false" ht="15" hidden="false" customHeight="true" outlineLevel="0" collapsed="false">
      <c r="F9" s="67" t="s">
        <v>119</v>
      </c>
      <c r="G9" s="68" t="n">
        <v>1.4</v>
      </c>
      <c r="H9" s="41" t="s">
        <v>120</v>
      </c>
    </row>
    <row r="10" customFormat="false" ht="16.5" hidden="false" customHeight="true" outlineLevel="0" collapsed="false">
      <c r="A10" s="60" t="s">
        <v>121</v>
      </c>
      <c r="B10" s="60"/>
      <c r="C10" s="60"/>
      <c r="D10" s="60"/>
      <c r="F10" s="49" t="s">
        <v>122</v>
      </c>
      <c r="G10" s="69" t="n">
        <v>14.9</v>
      </c>
      <c r="H10" s="41"/>
    </row>
    <row r="11" customFormat="false" ht="15" hidden="false" customHeight="true" outlineLevel="0" collapsed="false">
      <c r="B11" s="17" t="s">
        <v>105</v>
      </c>
      <c r="C11" s="17" t="s">
        <v>106</v>
      </c>
      <c r="D11" s="17" t="s">
        <v>19</v>
      </c>
      <c r="F11" s="49" t="s">
        <v>123</v>
      </c>
      <c r="G11" s="69" t="n">
        <v>24.9</v>
      </c>
      <c r="H11" s="41"/>
    </row>
    <row r="12" customFormat="false" ht="15" hidden="false" customHeight="true" outlineLevel="0" collapsed="false">
      <c r="B12" s="61" t="s">
        <v>124</v>
      </c>
      <c r="C12" s="65" t="n">
        <v>60</v>
      </c>
      <c r="D12" s="41" t="s">
        <v>125</v>
      </c>
      <c r="F12" s="49" t="s">
        <v>126</v>
      </c>
      <c r="G12" s="66" t="n">
        <v>0.65</v>
      </c>
      <c r="H12" s="41"/>
    </row>
    <row r="13" customFormat="false" ht="15" hidden="false" customHeight="true" outlineLevel="0" collapsed="false">
      <c r="B13" s="61" t="s">
        <v>127</v>
      </c>
      <c r="C13" s="66" t="n">
        <v>0.2</v>
      </c>
      <c r="D13" s="15" t="s">
        <v>128</v>
      </c>
      <c r="F13" s="49" t="s">
        <v>129</v>
      </c>
      <c r="G13" s="66" t="n">
        <v>0.35</v>
      </c>
      <c r="H13" s="41"/>
    </row>
    <row r="14" customFormat="false" ht="15" hidden="false" customHeight="true" outlineLevel="0" collapsed="false">
      <c r="B14" s="61" t="s">
        <v>130</v>
      </c>
      <c r="C14" s="66" t="n">
        <v>0.15</v>
      </c>
      <c r="D14" s="15" t="s">
        <v>131</v>
      </c>
      <c r="F14" s="49" t="s">
        <v>132</v>
      </c>
      <c r="G14" s="66" t="n">
        <v>0.75</v>
      </c>
      <c r="H14" s="15" t="s">
        <v>133</v>
      </c>
    </row>
    <row r="15" customFormat="false" ht="15" hidden="false" customHeight="true" outlineLevel="0" collapsed="false">
      <c r="B15" s="61" t="s">
        <v>134</v>
      </c>
      <c r="C15" s="66" t="n">
        <v>0.7</v>
      </c>
      <c r="D15" s="41" t="s">
        <v>135</v>
      </c>
      <c r="F15" s="49" t="s">
        <v>136</v>
      </c>
      <c r="G15" s="69" t="n">
        <v>500</v>
      </c>
      <c r="H15" s="15" t="s">
        <v>137</v>
      </c>
    </row>
    <row r="16" customFormat="false" ht="15" hidden="false" customHeight="true" outlineLevel="0" collapsed="false">
      <c r="B16" s="61" t="s">
        <v>138</v>
      </c>
      <c r="C16" s="65" t="n">
        <v>25</v>
      </c>
      <c r="D16" s="15" t="s">
        <v>139</v>
      </c>
      <c r="F16" s="67" t="s">
        <v>140</v>
      </c>
      <c r="G16" s="70"/>
      <c r="H16" s="71" t="s">
        <v>141</v>
      </c>
    </row>
    <row r="17" customFormat="false" ht="16.5" hidden="false" customHeight="true" outlineLevel="0" collapsed="false">
      <c r="B17" s="61" t="s">
        <v>142</v>
      </c>
      <c r="C17" s="65" t="n">
        <v>6</v>
      </c>
      <c r="D17" s="41"/>
      <c r="F17" s="39" t="s">
        <v>143</v>
      </c>
      <c r="G17" s="39"/>
      <c r="H17" s="39"/>
    </row>
    <row r="18" customFormat="false" ht="15" hidden="false" customHeight="true" outlineLevel="0" collapsed="false">
      <c r="B18" s="61" t="s">
        <v>144</v>
      </c>
      <c r="C18" s="65" t="n">
        <v>1</v>
      </c>
      <c r="D18" s="41"/>
      <c r="F18" s="67" t="s">
        <v>145</v>
      </c>
      <c r="G18" s="70" t="n">
        <v>0.4</v>
      </c>
      <c r="H18" s="67" t="s">
        <v>146</v>
      </c>
    </row>
    <row r="19" customFormat="false" ht="15" hidden="false" customHeight="true" outlineLevel="0" collapsed="false">
      <c r="F19" s="72" t="s">
        <v>147</v>
      </c>
      <c r="G19" s="69" t="n">
        <v>299</v>
      </c>
      <c r="H19" s="41" t="s">
        <v>148</v>
      </c>
    </row>
    <row r="20" customFormat="false" ht="16.5" hidden="false" customHeight="true" outlineLevel="0" collapsed="false">
      <c r="A20" s="60" t="s">
        <v>149</v>
      </c>
      <c r="B20" s="60"/>
      <c r="C20" s="60"/>
      <c r="D20" s="60"/>
      <c r="F20" s="72" t="s">
        <v>150</v>
      </c>
      <c r="G20" s="69" t="n">
        <v>799</v>
      </c>
      <c r="H20" s="15" t="s">
        <v>151</v>
      </c>
    </row>
    <row r="21" customFormat="false" ht="15" hidden="false" customHeight="true" outlineLevel="0" collapsed="false">
      <c r="B21" s="17" t="s">
        <v>152</v>
      </c>
      <c r="C21" s="18" t="s">
        <v>153</v>
      </c>
      <c r="D21" s="17" t="s">
        <v>154</v>
      </c>
      <c r="F21" s="72" t="s">
        <v>155</v>
      </c>
      <c r="G21" s="69" t="n">
        <v>499</v>
      </c>
      <c r="H21" s="15" t="s">
        <v>156</v>
      </c>
    </row>
    <row r="22" customFormat="false" ht="15" hidden="false" customHeight="true" outlineLevel="0" collapsed="false">
      <c r="B22" s="62" t="s">
        <v>157</v>
      </c>
      <c r="C22" s="69" t="n">
        <v>12.8</v>
      </c>
      <c r="D22" s="66" t="n">
        <v>0.7</v>
      </c>
      <c r="F22" s="72" t="s">
        <v>158</v>
      </c>
      <c r="G22" s="65" t="n">
        <v>5</v>
      </c>
      <c r="H22" s="15" t="s">
        <v>159</v>
      </c>
    </row>
    <row r="23" customFormat="false" ht="15" hidden="false" customHeight="true" outlineLevel="0" collapsed="false">
      <c r="B23" s="62" t="s">
        <v>160</v>
      </c>
      <c r="C23" s="69" t="n">
        <v>19.9</v>
      </c>
      <c r="D23" s="66" t="n">
        <v>0.5</v>
      </c>
      <c r="F23" s="72" t="s">
        <v>161</v>
      </c>
      <c r="G23" s="65" t="n">
        <v>15</v>
      </c>
      <c r="H23" s="15" t="s">
        <v>162</v>
      </c>
    </row>
    <row r="24" customFormat="false" ht="15" hidden="false" customHeight="true" outlineLevel="0" collapsed="false">
      <c r="B24" s="62" t="s">
        <v>163</v>
      </c>
      <c r="C24" s="69" t="n">
        <v>28.9</v>
      </c>
      <c r="D24" s="66" t="n">
        <v>0.4</v>
      </c>
      <c r="F24" s="72" t="s">
        <v>164</v>
      </c>
      <c r="G24" s="65" t="n">
        <v>60</v>
      </c>
      <c r="H24" s="15" t="s">
        <v>165</v>
      </c>
    </row>
    <row r="25" customFormat="false" ht="15" hidden="false" customHeight="true" outlineLevel="0" collapsed="false">
      <c r="B25" s="61" t="s">
        <v>166</v>
      </c>
      <c r="C25" s="69" t="n">
        <v>9.9</v>
      </c>
      <c r="D25" s="66" t="n">
        <v>0.6</v>
      </c>
      <c r="F25" s="72" t="s">
        <v>167</v>
      </c>
      <c r="G25" s="65" t="n">
        <v>150</v>
      </c>
      <c r="H25" s="41"/>
    </row>
    <row r="26" customFormat="false" ht="15" hidden="false" customHeight="true" outlineLevel="0" collapsed="false">
      <c r="F26" s="72" t="s">
        <v>168</v>
      </c>
      <c r="G26" s="65" t="n">
        <v>300</v>
      </c>
      <c r="H26" s="41"/>
    </row>
    <row r="27" customFormat="false" ht="15" hidden="false" customHeight="true" outlineLevel="0" collapsed="false">
      <c r="B27" s="17" t="s">
        <v>169</v>
      </c>
      <c r="C27" s="17" t="s">
        <v>170</v>
      </c>
      <c r="D27" s="17" t="s">
        <v>19</v>
      </c>
      <c r="F27" s="40" t="s">
        <v>171</v>
      </c>
      <c r="G27" s="66" t="n">
        <v>0.5</v>
      </c>
      <c r="H27" s="41"/>
    </row>
    <row r="28" customFormat="false" ht="15" hidden="false" customHeight="true" outlineLevel="0" collapsed="false">
      <c r="B28" s="62" t="s">
        <v>172</v>
      </c>
      <c r="C28" s="66" t="n">
        <v>0.28</v>
      </c>
      <c r="D28" s="15" t="s">
        <v>173</v>
      </c>
      <c r="F28" s="40" t="s">
        <v>174</v>
      </c>
      <c r="G28" s="66" t="n">
        <v>0.3</v>
      </c>
      <c r="H28" s="41"/>
    </row>
    <row r="29" customFormat="false" ht="15" hidden="false" customHeight="true" outlineLevel="0" collapsed="false">
      <c r="B29" s="62" t="s">
        <v>175</v>
      </c>
      <c r="C29" s="66" t="n">
        <v>0.12</v>
      </c>
      <c r="D29" s="41" t="s">
        <v>176</v>
      </c>
      <c r="F29" s="40" t="s">
        <v>177</v>
      </c>
      <c r="G29" s="66" t="n">
        <v>0.2</v>
      </c>
      <c r="H29" s="41"/>
    </row>
    <row r="30" customFormat="false" ht="15" hidden="false" customHeight="true" outlineLevel="0" collapsed="false">
      <c r="B30" s="62" t="s">
        <v>178</v>
      </c>
      <c r="C30" s="66" t="n">
        <v>0.18</v>
      </c>
      <c r="D30" s="15" t="s">
        <v>179</v>
      </c>
      <c r="F30" s="40" t="s">
        <v>132</v>
      </c>
      <c r="G30" s="66" t="n">
        <v>0.8</v>
      </c>
      <c r="H30" s="15" t="s">
        <v>180</v>
      </c>
    </row>
  </sheetData>
  <mergeCells count="7">
    <mergeCell ref="A1:H1"/>
    <mergeCell ref="A2:H2"/>
    <mergeCell ref="A4:D4"/>
    <mergeCell ref="F4:H4"/>
    <mergeCell ref="A10:D10"/>
    <mergeCell ref="F17:H17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2026-02-22T13:28:19Z</dcterms:created>
  <dc:creator>openpyxl</dc:creator>
  <dc:description/>
  <dc:language>en-US</dc:language>
  <cp:lastModifiedBy/>
  <dcterms:modified xsi:type="dcterms:W3CDTF">2026-02-22T13:31:20Z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