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값" sheetId="1" state="visible" r:id="rId3"/>
    <sheet name="월별 시뮬레이션" sheetId="2" state="visible" r:id="rId4"/>
    <sheet name="시나리오 비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ShiningShadow</author>
  </authors>
  <commentList>
    <comment ref="B5" authorId="0">
      <text>
        <r>
          <rPr>
            <sz val="10"/>
            <rFont val="Noto Sans CJK KR"/>
            <family val="2"/>
          </rPr>
          <t xml:space="preserve">입문 리포트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KR"/>
            <family val="2"/>
          </rPr>
          <t xml:space="preserve">가장 많이 팔리는 구간</t>
        </r>
      </text>
    </comment>
    <comment ref="B6" authorId="0">
      <text>
        <r>
          <rPr>
            <sz val="10"/>
            <rFont val="Noto Sans CJK KR"/>
            <family val="2"/>
          </rPr>
          <t xml:space="preserve">심층 분석 </t>
        </r>
        <r>
          <rPr>
            <sz val="10"/>
            <rFont val="Arial"/>
            <family val="2"/>
          </rPr>
          <t xml:space="preserve">· Tier1 </t>
        </r>
        <r>
          <rPr>
            <sz val="10"/>
            <rFont val="Noto Sans CJK KR"/>
            <family val="2"/>
          </rPr>
          <t xml:space="preserve">구매자 업셀 타깃</t>
        </r>
      </text>
    </comment>
    <comment ref="B7" authorId="0">
      <text>
        <r>
          <rPr>
            <sz val="10"/>
            <rFont val="Noto Sans CJK KR"/>
            <family val="2"/>
          </rPr>
          <t xml:space="preserve">마스터 리포트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KR"/>
            <family val="2"/>
          </rPr>
          <t xml:space="preserve">헤비유저</t>
        </r>
      </text>
    </comment>
    <comment ref="B8" authorId="0">
      <text>
        <r>
          <rPr>
            <sz val="10"/>
            <rFont val="Noto Sans CJK KR"/>
            <family val="2"/>
          </rPr>
          <t xml:space="preserve">관계 날씨 부록</t>
        </r>
      </text>
    </comment>
    <comment ref="B10" authorId="0">
      <text>
        <r>
          <rPr>
            <sz val="10"/>
            <rFont val="Noto Sans CJK KR"/>
            <family val="2"/>
          </rPr>
          <t xml:space="preserve">성장 수확 부록</t>
        </r>
      </text>
    </comment>
    <comment ref="B11" authorId="0">
      <text>
        <r>
          <rPr>
            <sz val="10"/>
            <rFont val="Arial"/>
            <family val="2"/>
          </rPr>
          <t xml:space="preserve">≈ $9 </t>
        </r>
        <r>
          <rPr>
            <sz val="10"/>
            <rFont val="Noto Sans CJK KR"/>
            <family val="2"/>
          </rPr>
          <t xml:space="preserve">할인</t>
        </r>
      </text>
    </comment>
    <comment ref="B12" authorId="0">
      <text>
        <r>
          <rPr>
            <sz val="10"/>
            <rFont val="Arial"/>
            <family val="2"/>
          </rPr>
          <t xml:space="preserve">≈ $28 </t>
        </r>
        <r>
          <rPr>
            <sz val="10"/>
            <rFont val="Noto Sans CJK KR"/>
            <family val="2"/>
          </rPr>
          <t xml:space="preserve">할인</t>
        </r>
      </text>
    </comment>
    <comment ref="B13" authorId="0">
      <text>
        <r>
          <rPr>
            <sz val="10"/>
            <rFont val="Noto Sans CJK KR"/>
            <family val="2"/>
          </rPr>
          <t xml:space="preserve">횡적 확장형</t>
        </r>
      </text>
    </comment>
    <comment ref="B29" authorId="0">
      <text>
        <r>
          <rPr>
            <sz val="10"/>
            <rFont val="Noto Sans CJK KR"/>
            <family val="2"/>
          </rPr>
          <t xml:space="preserve">현재 </t>
        </r>
        <r>
          <rPr>
            <sz val="10"/>
            <rFont val="Arial"/>
            <family val="2"/>
          </rPr>
          <t xml:space="preserve">SPARK + VISION = 2</t>
        </r>
        <r>
          <rPr>
            <sz val="10"/>
            <rFont val="Noto Sans CJK KR"/>
            <family val="2"/>
          </rPr>
          <t xml:space="preserve">유형</t>
        </r>
      </text>
    </comment>
    <comment ref="B30" authorId="0">
      <text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KR"/>
            <family val="2"/>
          </rPr>
          <t xml:space="preserve">유형 완성 시</t>
        </r>
      </text>
    </comment>
    <comment ref="B31" authorId="0">
      <text>
        <r>
          <rPr>
            <sz val="10"/>
            <rFont val="Arial"/>
            <family val="2"/>
          </rPr>
          <t xml:space="preserve">Hotmart </t>
        </r>
        <r>
          <rPr>
            <sz val="10"/>
            <rFont val="Noto Sans CJK KR"/>
            <family val="2"/>
          </rPr>
          <t xml:space="preserve">기본 </t>
        </r>
        <r>
          <rPr>
            <sz val="10"/>
            <rFont val="Arial"/>
            <family val="2"/>
          </rPr>
          <t xml:space="preserve">9.9%</t>
        </r>
      </text>
    </comment>
    <comment ref="B33" authorId="0">
      <text>
        <r>
          <rPr>
            <sz val="10"/>
            <rFont val="Noto Sans CJK KR"/>
            <family val="2"/>
          </rPr>
          <t xml:space="preserve">전체 매출 중 제휴 경유 비율</t>
        </r>
      </text>
    </comment>
    <comment ref="B34" authorId="0">
      <text>
        <r>
          <rPr>
            <sz val="10"/>
            <rFont val="Noto Sans CJK KR"/>
            <family val="2"/>
          </rPr>
          <t xml:space="preserve">바이럴 효과 포함 월 </t>
        </r>
        <r>
          <rPr>
            <sz val="10"/>
            <rFont val="Arial"/>
            <family val="2"/>
          </rPr>
          <t xml:space="preserve">15% </t>
        </r>
        <r>
          <rPr>
            <sz val="10"/>
            <rFont val="Noto Sans CJK KR"/>
            <family val="2"/>
          </rPr>
          <t xml:space="preserve">성장</t>
        </r>
      </text>
    </comment>
  </commentList>
</comments>
</file>

<file path=xl/sharedStrings.xml><?xml version="1.0" encoding="utf-8"?>
<sst xmlns="http://schemas.openxmlformats.org/spreadsheetml/2006/main" count="108" uniqueCount="108">
  <si>
    <r>
      <rPr>
        <b val="true"/>
        <sz val="14"/>
        <color rgb="FFFFFFFF"/>
        <rFont val="Arial"/>
        <family val="0"/>
        <charset val="1"/>
      </rPr>
      <t xml:space="preserve">☀ ShiningShadow — Hotmart </t>
    </r>
    <r>
      <rPr>
        <b val="true"/>
        <sz val="14"/>
        <color rgb="FFFFFFFF"/>
        <rFont val="Noto Sans CJK KR"/>
        <family val="2"/>
      </rPr>
      <t xml:space="preserve">리포트 매출 시뮬레이터</t>
    </r>
  </si>
  <si>
    <t xml:space="preserve">🔵 파란색 = 직접 입력값  |  ⚫ 검정색 = 자동 계산  |  노란 배경 = 핵심 가정</t>
  </si>
  <si>
    <t xml:space="preserve">① 상품 구조 — 누적 포함 가격 (박리다매 · 남미 최적화)</t>
  </si>
  <si>
    <r>
      <rPr>
        <sz val="10"/>
        <color rgb="FF1A2030"/>
        <rFont val="Arial"/>
        <family val="0"/>
        <charset val="1"/>
      </rPr>
      <t xml:space="preserve">Tier 1  ·  Basic 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A </t>
    </r>
    <r>
      <rPr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</si>
  <si>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$9 · </t>
    </r>
    <r>
      <rPr>
        <sz val="9"/>
        <color rgb="FF888888"/>
        <rFont val="Noto Sans CJK KR"/>
        <family val="2"/>
      </rPr>
      <t xml:space="preserve">입문 </t>
    </r>
    <r>
      <rPr>
        <sz val="9"/>
        <color rgb="FF888888"/>
        <rFont val="Arial"/>
        <family val="0"/>
        <charset val="1"/>
      </rPr>
      <t xml:space="preserve">· </t>
    </r>
    <r>
      <rPr>
        <sz val="9"/>
        <color rgb="FF888888"/>
        <rFont val="Noto Sans CJK KR"/>
        <family val="2"/>
      </rPr>
      <t xml:space="preserve">충동구매 구간</t>
    </r>
  </si>
  <si>
    <r>
      <rPr>
        <sz val="10"/>
        <color rgb="FF1A2030"/>
        <rFont val="Arial"/>
        <family val="0"/>
        <charset val="1"/>
      </rPr>
      <t xml:space="preserve">Tier 2  ·  Tier1 </t>
    </r>
    <r>
      <rPr>
        <sz val="10"/>
        <color rgb="FF1A2030"/>
        <rFont val="Noto Sans CJK KR"/>
        <family val="2"/>
      </rPr>
      <t xml:space="preserve">전체 </t>
    </r>
    <r>
      <rPr>
        <sz val="10"/>
        <color rgb="FF1A2030"/>
        <rFont val="Arial"/>
        <family val="0"/>
        <charset val="1"/>
      </rPr>
      <t xml:space="preserve">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B + Deep </t>
    </r>
    <r>
      <rPr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</si>
  <si>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$15 · </t>
    </r>
    <r>
      <rPr>
        <sz val="9"/>
        <color rgb="FF888888"/>
        <rFont val="Noto Sans CJK KR"/>
        <family val="2"/>
      </rPr>
      <t xml:space="preserve">주력 상품 </t>
    </r>
    <r>
      <rPr>
        <sz val="9"/>
        <color rgb="FF888888"/>
        <rFont val="Arial"/>
        <family val="0"/>
        <charset val="1"/>
      </rPr>
      <t xml:space="preserve">· Tier1 </t>
    </r>
    <r>
      <rPr>
        <sz val="9"/>
        <color rgb="FF888888"/>
        <rFont val="Noto Sans CJK KR"/>
        <family val="2"/>
      </rPr>
      <t xml:space="preserve">완전 포함</t>
    </r>
  </si>
  <si>
    <r>
      <rPr>
        <b val="true"/>
        <sz val="10"/>
        <color rgb="FF1A2030"/>
        <rFont val="Arial"/>
        <family val="0"/>
        <charset val="1"/>
      </rPr>
      <t xml:space="preserve">Tier 3  ·  Tier2 </t>
    </r>
    <r>
      <rPr>
        <b val="true"/>
        <sz val="10"/>
        <color rgb="FF1A2030"/>
        <rFont val="Noto Sans CJK KR"/>
        <family val="2"/>
      </rPr>
      <t xml:space="preserve">전체 </t>
    </r>
    <r>
      <rPr>
        <b val="true"/>
        <sz val="10"/>
        <color rgb="FF1A2030"/>
        <rFont val="Arial"/>
        <family val="0"/>
        <charset val="1"/>
      </rPr>
      <t xml:space="preserve">+ </t>
    </r>
    <r>
      <rPr>
        <b val="true"/>
        <sz val="10"/>
        <color rgb="FF1A2030"/>
        <rFont val="Noto Sans CJK KR"/>
        <family val="2"/>
      </rPr>
      <t xml:space="preserve">부록</t>
    </r>
    <r>
      <rPr>
        <b val="true"/>
        <sz val="10"/>
        <color rgb="FF1A2030"/>
        <rFont val="Arial"/>
        <family val="0"/>
        <charset val="1"/>
      </rPr>
      <t xml:space="preserve">C + Master </t>
    </r>
    <r>
      <rPr>
        <b val="true"/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</si>
  <si>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$19 · </t>
    </r>
    <r>
      <rPr>
        <sz val="9"/>
        <color rgb="FF888888"/>
        <rFont val="Noto Sans CJK KR"/>
        <family val="2"/>
      </rPr>
      <t xml:space="preserve">전체 콘텐츠 </t>
    </r>
    <r>
      <rPr>
        <sz val="9"/>
        <color rgb="FF888888"/>
        <rFont val="Arial"/>
        <family val="0"/>
        <charset val="1"/>
      </rPr>
      <t xml:space="preserve">· </t>
    </r>
    <r>
      <rPr>
        <sz val="9"/>
        <color rgb="FF888888"/>
        <rFont val="Noto Sans CJK KR"/>
        <family val="2"/>
      </rPr>
      <t xml:space="preserve">최고 가치</t>
    </r>
  </si>
  <si>
    <t xml:space="preserve">② 판매 믹스 — 월별 판매 수량 가정 (유형 1개, M1 기준)</t>
  </si>
  <si>
    <r>
      <rPr>
        <sz val="10"/>
        <color rgb="FF1A2030"/>
        <rFont val="Arial"/>
        <family val="0"/>
        <charset val="1"/>
      </rPr>
      <t xml:space="preserve">Tier 1 </t>
    </r>
    <r>
      <rPr>
        <sz val="10"/>
        <color rgb="FF1A2030"/>
        <rFont val="Noto Sans CJK KR"/>
        <family val="2"/>
      </rPr>
      <t xml:space="preserve">월 판매량</t>
    </r>
  </si>
  <si>
    <t xml:space="preserve">낮은 가격 → 충동구매 볼륨</t>
  </si>
  <si>
    <r>
      <rPr>
        <sz val="10"/>
        <color rgb="FF1A2030"/>
        <rFont val="Arial"/>
        <family val="0"/>
        <charset val="1"/>
      </rPr>
      <t xml:space="preserve">Tier 2 </t>
    </r>
    <r>
      <rPr>
        <sz val="10"/>
        <color rgb="FF1A2030"/>
        <rFont val="Noto Sans CJK KR"/>
        <family val="2"/>
      </rPr>
      <t xml:space="preserve">월 판매량</t>
    </r>
  </si>
  <si>
    <t xml:space="preserve">주력 · 가성비 최고 포지션</t>
  </si>
  <si>
    <r>
      <rPr>
        <sz val="10"/>
        <color rgb="FF1A2030"/>
        <rFont val="Arial"/>
        <family val="0"/>
        <charset val="1"/>
      </rPr>
      <t xml:space="preserve">Tier 3 </t>
    </r>
    <r>
      <rPr>
        <sz val="10"/>
        <color rgb="FF1A2030"/>
        <rFont val="Noto Sans CJK KR"/>
        <family val="2"/>
      </rPr>
      <t xml:space="preserve">월 판매량</t>
    </r>
  </si>
  <si>
    <t xml:space="preserve">완전판 · 핵심 팬층</t>
  </si>
  <si>
    <t xml:space="preserve">③ 운영 가정</t>
  </si>
  <si>
    <t xml:space="preserve">운영 유형 수 (현재)</t>
  </si>
  <si>
    <t xml:space="preserve">현재 SPARK + VISION = 2유형</t>
  </si>
  <si>
    <t xml:space="preserve">운영 유형 수 (목표)</t>
  </si>
  <si>
    <r>
      <rPr>
        <sz val="9"/>
        <color rgb="FF888888"/>
        <rFont val="Arial"/>
        <family val="0"/>
        <charset val="1"/>
      </rPr>
      <t xml:space="preserve">8</t>
    </r>
    <r>
      <rPr>
        <sz val="9"/>
        <color rgb="FF888888"/>
        <rFont val="Noto Sans CJK KR"/>
        <family val="2"/>
      </rPr>
      <t xml:space="preserve">유형 완성 시</t>
    </r>
  </si>
  <si>
    <r>
      <rPr>
        <sz val="10"/>
        <color rgb="FF1A2030"/>
        <rFont val="Arial"/>
        <family val="0"/>
        <charset val="1"/>
      </rPr>
      <t xml:space="preserve">Hotmart </t>
    </r>
    <r>
      <rPr>
        <sz val="10"/>
        <color rgb="FF1A2030"/>
        <rFont val="Noto Sans CJK KR"/>
        <family val="2"/>
      </rPr>
      <t xml:space="preserve">수수료율</t>
    </r>
  </si>
  <si>
    <r>
      <rPr>
        <sz val="9"/>
        <color rgb="FF888888"/>
        <rFont val="Arial"/>
        <family val="0"/>
        <charset val="1"/>
      </rPr>
      <t xml:space="preserve">Hotmart </t>
    </r>
    <r>
      <rPr>
        <sz val="9"/>
        <color rgb="FF888888"/>
        <rFont val="Noto Sans CJK KR"/>
        <family val="2"/>
      </rPr>
      <t xml:space="preserve">기본 </t>
    </r>
    <r>
      <rPr>
        <sz val="9"/>
        <color rgb="FF888888"/>
        <rFont val="Arial"/>
        <family val="0"/>
        <charset val="1"/>
      </rPr>
      <t xml:space="preserve">9.9%</t>
    </r>
  </si>
  <si>
    <r>
      <rPr>
        <sz val="10"/>
        <color rgb="FF1A2030"/>
        <rFont val="Noto Sans CJK KR"/>
        <family val="2"/>
      </rPr>
      <t xml:space="preserve">  제휴 커미션율 — </t>
    </r>
    <r>
      <rPr>
        <sz val="10"/>
        <color rgb="FF1A2030"/>
        <rFont val="Arial"/>
        <family val="0"/>
        <charset val="1"/>
      </rPr>
      <t xml:space="preserve">Tier 1</t>
    </r>
  </si>
  <si>
    <r>
      <rPr>
        <sz val="9"/>
        <color rgb="FF888888"/>
        <rFont val="Arial"/>
        <family val="0"/>
        <charset val="1"/>
      </rPr>
      <t xml:space="preserve">70% </t>
    </r>
    <r>
      <rPr>
        <sz val="9"/>
        <color rgb="FF888888"/>
        <rFont val="Noto Sans CJK KR"/>
        <family val="2"/>
      </rPr>
      <t xml:space="preserve">제공 → 제휴사 </t>
    </r>
    <r>
      <rPr>
        <sz val="9"/>
        <color rgb="FF888888"/>
        <rFont val="Arial"/>
        <family val="0"/>
        <charset val="1"/>
      </rPr>
      <t xml:space="preserve">$6.30 / </t>
    </r>
    <r>
      <rPr>
        <sz val="9"/>
        <color rgb="FF888888"/>
        <rFont val="Noto Sans CJK KR"/>
        <family val="2"/>
      </rPr>
      <t xml:space="preserve">판매당  </t>
    </r>
    <r>
      <rPr>
        <sz val="9"/>
        <color rgb="FF888888"/>
        <rFont val="Arial"/>
        <family val="0"/>
        <charset val="1"/>
      </rPr>
      <t xml:space="preserve">·  </t>
    </r>
    <r>
      <rPr>
        <sz val="9"/>
        <color rgb="FF888888"/>
        <rFont val="Noto Sans CJK KR"/>
        <family val="2"/>
      </rPr>
      <t xml:space="preserve">유입 미끼 전략</t>
    </r>
  </si>
  <si>
    <r>
      <rPr>
        <sz val="10"/>
        <color rgb="FF1A2030"/>
        <rFont val="Noto Sans CJK KR"/>
        <family val="2"/>
      </rPr>
      <t xml:space="preserve">  제휴 커미션율 — </t>
    </r>
    <r>
      <rPr>
        <sz val="10"/>
        <color rgb="FF1A2030"/>
        <rFont val="Arial"/>
        <family val="0"/>
        <charset val="1"/>
      </rPr>
      <t xml:space="preserve">Tier 2</t>
    </r>
  </si>
  <si>
    <r>
      <rPr>
        <sz val="9"/>
        <color rgb="FF888888"/>
        <rFont val="Arial"/>
        <family val="0"/>
        <charset val="1"/>
      </rPr>
      <t xml:space="preserve">40% </t>
    </r>
    <r>
      <rPr>
        <sz val="9"/>
        <color rgb="FF888888"/>
        <rFont val="Noto Sans CJK KR"/>
        <family val="2"/>
      </rPr>
      <t xml:space="preserve">제공 → 제휴사 </t>
    </r>
    <r>
      <rPr>
        <sz val="9"/>
        <color rgb="FF888888"/>
        <rFont val="Arial"/>
        <family val="0"/>
        <charset val="1"/>
      </rPr>
      <t xml:space="preserve">$6.00 / </t>
    </r>
    <r>
      <rPr>
        <sz val="9"/>
        <color rgb="FF888888"/>
        <rFont val="Noto Sans CJK KR"/>
        <family val="2"/>
      </rPr>
      <t xml:space="preserve">판매당  </t>
    </r>
    <r>
      <rPr>
        <sz val="9"/>
        <color rgb="FF888888"/>
        <rFont val="Arial"/>
        <family val="0"/>
        <charset val="1"/>
      </rPr>
      <t xml:space="preserve">·  </t>
    </r>
    <r>
      <rPr>
        <sz val="9"/>
        <color rgb="FF888888"/>
        <rFont val="Noto Sans CJK KR"/>
        <family val="2"/>
      </rPr>
      <t xml:space="preserve">주력 수익 구간</t>
    </r>
  </si>
  <si>
    <r>
      <rPr>
        <sz val="10"/>
        <color rgb="FF1A2030"/>
        <rFont val="Noto Sans CJK KR"/>
        <family val="2"/>
      </rPr>
      <t xml:space="preserve">  제휴 커미션율 — </t>
    </r>
    <r>
      <rPr>
        <sz val="10"/>
        <color rgb="FF1A2030"/>
        <rFont val="Arial"/>
        <family val="0"/>
        <charset val="1"/>
      </rPr>
      <t xml:space="preserve">Tier 3</t>
    </r>
  </si>
  <si>
    <r>
      <rPr>
        <sz val="9"/>
        <color rgb="FF888888"/>
        <rFont val="Arial"/>
        <family val="0"/>
        <charset val="1"/>
      </rPr>
      <t xml:space="preserve">30% </t>
    </r>
    <r>
      <rPr>
        <sz val="9"/>
        <color rgb="FF888888"/>
        <rFont val="Noto Sans CJK KR"/>
        <family val="2"/>
      </rPr>
      <t xml:space="preserve">제공 → 제휴사 </t>
    </r>
    <r>
      <rPr>
        <sz val="9"/>
        <color rgb="FF888888"/>
        <rFont val="Arial"/>
        <family val="0"/>
        <charset val="1"/>
      </rPr>
      <t xml:space="preserve">$5.70 / </t>
    </r>
    <r>
      <rPr>
        <sz val="9"/>
        <color rgb="FF888888"/>
        <rFont val="Noto Sans CJK KR"/>
        <family val="2"/>
      </rPr>
      <t xml:space="preserve">판매당  </t>
    </r>
    <r>
      <rPr>
        <sz val="9"/>
        <color rgb="FF888888"/>
        <rFont val="Arial"/>
        <family val="0"/>
        <charset val="1"/>
      </rPr>
      <t xml:space="preserve">·  </t>
    </r>
    <r>
      <rPr>
        <sz val="9"/>
        <color rgb="FF888888"/>
        <rFont val="Noto Sans CJK KR"/>
        <family val="2"/>
      </rPr>
      <t xml:space="preserve">프리미엄 유지</t>
    </r>
  </si>
  <si>
    <r>
      <rPr>
        <sz val="10"/>
        <color rgb="FF1A2030"/>
        <rFont val="Noto Sans CJK KR"/>
        <family val="2"/>
      </rPr>
      <t xml:space="preserve">제휴 매출 비중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전체 중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</si>
  <si>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9"/>
        <color rgb="FF888888"/>
        <rFont val="Noto Sans CJK KR"/>
        <family val="2"/>
      </rPr>
      <t xml:space="preserve">전체 판매 중 제휴 경유 비율 </t>
    </r>
    <r>
      <rPr>
        <sz val="9"/>
        <color rgb="FF888888"/>
        <rFont val="Arial"/>
        <family val="0"/>
        <charset val="1"/>
      </rPr>
      <t xml:space="preserve">(</t>
    </r>
    <r>
      <rPr>
        <sz val="9"/>
        <color rgb="FF888888"/>
        <rFont val="Noto Sans CJK KR"/>
        <family val="2"/>
      </rPr>
      <t xml:space="preserve">초기 </t>
    </r>
    <r>
      <rPr>
        <sz val="9"/>
        <color rgb="FF888888"/>
        <rFont val="Arial"/>
        <family val="0"/>
        <charset val="1"/>
      </rPr>
      <t xml:space="preserve">20% → </t>
    </r>
    <r>
      <rPr>
        <sz val="9"/>
        <color rgb="FF888888"/>
        <rFont val="Noto Sans CJK KR"/>
        <family val="2"/>
      </rPr>
      <t xml:space="preserve">성장 후 최대 </t>
    </r>
    <r>
      <rPr>
        <sz val="9"/>
        <color rgb="FF888888"/>
        <rFont val="Arial"/>
        <family val="0"/>
        <charset val="1"/>
      </rPr>
      <t xml:space="preserve">50%)</t>
    </r>
  </si>
  <si>
    <r>
      <rPr>
        <sz val="10"/>
        <color rgb="FF1A2030"/>
        <rFont val="Noto Sans CJK KR"/>
        <family val="2"/>
      </rPr>
      <t xml:space="preserve">월 성장률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바이럴 복리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</si>
  <si>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9"/>
        <color rgb="FF888888"/>
        <rFont val="Noto Sans CJK KR"/>
        <family val="2"/>
      </rPr>
      <t xml:space="preserve">박리다매 </t>
    </r>
    <r>
      <rPr>
        <sz val="9"/>
        <color rgb="FF888888"/>
        <rFont val="Arial"/>
        <family val="0"/>
        <charset val="1"/>
      </rPr>
      <t xml:space="preserve">+ </t>
    </r>
    <r>
      <rPr>
        <sz val="9"/>
        <color rgb="FF888888"/>
        <rFont val="Noto Sans CJK KR"/>
        <family val="2"/>
      </rPr>
      <t xml:space="preserve">바이럴 기준 월 </t>
    </r>
    <r>
      <rPr>
        <sz val="9"/>
        <color rgb="FF888888"/>
        <rFont val="Arial"/>
        <family val="0"/>
        <charset val="1"/>
      </rPr>
      <t xml:space="preserve">20%</t>
    </r>
  </si>
  <si>
    <r>
      <rPr>
        <b val="true"/>
        <sz val="10"/>
        <color rgb="FFFFFFFF"/>
        <rFont val="Noto Sans CJK KR"/>
        <family val="2"/>
      </rPr>
      <t xml:space="preserve">④ 유형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개 기준 — 월 단위 수익 요약 </t>
    </r>
    <r>
      <rPr>
        <b val="true"/>
        <sz val="10"/>
        <color rgb="FFFFFFFF"/>
        <rFont val="Arial"/>
        <family val="0"/>
        <charset val="1"/>
      </rPr>
      <t xml:space="preserve">(M1, </t>
    </r>
    <r>
      <rPr>
        <b val="true"/>
        <sz val="10"/>
        <color rgb="FFFFFFFF"/>
        <rFont val="Noto Sans CJK KR"/>
        <family val="2"/>
      </rPr>
      <t xml:space="preserve">자동 계산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</si>
  <si>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1A2030"/>
        <rFont val="Noto Sans CJK KR"/>
        <family val="2"/>
      </rPr>
      <t xml:space="preserve">월 총 매출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유형 </t>
    </r>
    <r>
      <rPr>
        <sz val="10"/>
        <color rgb="FF1A2030"/>
        <rFont val="Arial"/>
        <family val="0"/>
        <charset val="1"/>
      </rPr>
      <t xml:space="preserve">1</t>
    </r>
    <r>
      <rPr>
        <sz val="10"/>
        <color rgb="FF1A2030"/>
        <rFont val="Noto Sans CJK KR"/>
        <family val="2"/>
      </rPr>
      <t xml:space="preserve">개</t>
    </r>
    <r>
      <rPr>
        <sz val="10"/>
        <color rgb="FF1A2030"/>
        <rFont val="Arial"/>
        <family val="0"/>
        <charset val="1"/>
      </rPr>
      <t xml:space="preserve">, </t>
    </r>
    <r>
      <rPr>
        <sz val="10"/>
        <color rgb="FF1A2030"/>
        <rFont val="Noto Sans CJK KR"/>
        <family val="2"/>
      </rPr>
      <t xml:space="preserve">세전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</si>
  <si>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Noto Sans CJK KR"/>
        <family val="2"/>
      </rPr>
      <t xml:space="preserve">  차감</t>
    </r>
    <r>
      <rPr>
        <sz val="10"/>
        <color rgb="FF1A2030"/>
        <rFont val="Arial"/>
        <family val="0"/>
        <charset val="1"/>
      </rPr>
      <t xml:space="preserve">: Hotmart </t>
    </r>
    <r>
      <rPr>
        <sz val="10"/>
        <color rgb="FF1A2030"/>
        <rFont val="Noto Sans CJK KR"/>
        <family val="2"/>
      </rPr>
      <t xml:space="preserve">수수료 </t>
    </r>
    <r>
      <rPr>
        <sz val="10"/>
        <color rgb="FF1A2030"/>
        <rFont val="Arial"/>
        <family val="0"/>
        <charset val="1"/>
      </rPr>
      <t xml:space="preserve">(9.9%)</t>
    </r>
  </si>
  <si>
    <r>
      <rPr>
        <sz val="10"/>
        <color rgb="FF1A2030"/>
        <rFont val="Noto Sans CJK KR"/>
        <family val="2"/>
      </rPr>
      <t xml:space="preserve">  차감</t>
    </r>
    <r>
      <rPr>
        <sz val="10"/>
        <color rgb="FF1A2030"/>
        <rFont val="Arial"/>
        <family val="0"/>
        <charset val="1"/>
      </rPr>
      <t xml:space="preserve">: </t>
    </r>
    <r>
      <rPr>
        <sz val="10"/>
        <color rgb="FF1A2030"/>
        <rFont val="Noto Sans CJK KR"/>
        <family val="2"/>
      </rPr>
      <t xml:space="preserve">제휴 커미션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티어별 차등</t>
    </r>
    <r>
      <rPr>
        <sz val="10"/>
        <color rgb="FF1A2030"/>
        <rFont val="Arial"/>
        <family val="0"/>
        <charset val="1"/>
      </rPr>
      <t xml:space="preserve">)</t>
    </r>
  </si>
  <si>
    <r>
      <rPr>
        <b val="true"/>
        <sz val="10"/>
        <color rgb="FF1A2030"/>
        <rFont val="Noto Sans CJK KR"/>
        <family val="2"/>
      </rPr>
      <t xml:space="preserve">▶ 순 수익 </t>
    </r>
    <r>
      <rPr>
        <b val="true"/>
        <sz val="10"/>
        <color rgb="FF1A2030"/>
        <rFont val="Arial"/>
        <family val="0"/>
        <charset val="1"/>
      </rPr>
      <t xml:space="preserve">(</t>
    </r>
    <r>
      <rPr>
        <b val="true"/>
        <sz val="10"/>
        <color rgb="FF1A2030"/>
        <rFont val="Noto Sans CJK KR"/>
        <family val="2"/>
      </rPr>
      <t xml:space="preserve">유형 </t>
    </r>
    <r>
      <rPr>
        <b val="true"/>
        <sz val="10"/>
        <color rgb="FF1A2030"/>
        <rFont val="Arial"/>
        <family val="0"/>
        <charset val="1"/>
      </rPr>
      <t xml:space="preserve">1</t>
    </r>
    <r>
      <rPr>
        <b val="true"/>
        <sz val="10"/>
        <color rgb="FF1A2030"/>
        <rFont val="Noto Sans CJK KR"/>
        <family val="2"/>
      </rPr>
      <t xml:space="preserve">개</t>
    </r>
    <r>
      <rPr>
        <b val="true"/>
        <sz val="10"/>
        <color rgb="FF1A2030"/>
        <rFont val="Arial"/>
        <family val="0"/>
        <charset val="1"/>
      </rPr>
      <t xml:space="preserve">/</t>
    </r>
    <r>
      <rPr>
        <b val="true"/>
        <sz val="10"/>
        <color rgb="FF1A2030"/>
        <rFont val="Noto Sans CJK KR"/>
        <family val="2"/>
      </rPr>
      <t xml:space="preserve">월</t>
    </r>
    <r>
      <rPr>
        <b val="true"/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</si>
  <si>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Noto Sans CJK KR"/>
        <family val="2"/>
      </rPr>
      <t xml:space="preserve">  참고</t>
    </r>
    <r>
      <rPr>
        <sz val="10"/>
        <color rgb="FF1A2030"/>
        <rFont val="Arial"/>
        <family val="0"/>
        <charset val="1"/>
      </rPr>
      <t xml:space="preserve">: </t>
    </r>
    <r>
      <rPr>
        <sz val="10"/>
        <color rgb="FF1A2030"/>
        <rFont val="Noto Sans CJK KR"/>
        <family val="2"/>
      </rPr>
      <t xml:space="preserve">제휴사 </t>
    </r>
    <r>
      <rPr>
        <sz val="10"/>
        <color rgb="FF1A2030"/>
        <rFont val="Arial"/>
        <family val="0"/>
        <charset val="1"/>
      </rPr>
      <t xml:space="preserve">T1 </t>
    </r>
    <r>
      <rPr>
        <sz val="10"/>
        <color rgb="FF1A2030"/>
        <rFont val="Noto Sans CJK KR"/>
        <family val="2"/>
      </rPr>
      <t xml:space="preserve">실수령</t>
    </r>
    <r>
      <rPr>
        <sz val="10"/>
        <color rgb="FF1A2030"/>
        <rFont val="Arial"/>
        <family val="0"/>
        <charset val="1"/>
      </rPr>
      <t xml:space="preserve">/</t>
    </r>
    <r>
      <rPr>
        <sz val="10"/>
        <color rgb="FF1A2030"/>
        <rFont val="Noto Sans CJK KR"/>
        <family val="2"/>
      </rPr>
      <t xml:space="preserve">건</t>
    </r>
  </si>
  <si>
    <r>
      <rPr>
        <sz val="9"/>
        <color rgb="FF888888"/>
        <rFont val="Noto Sans CJK KR"/>
        <family val="2"/>
      </rPr>
      <t xml:space="preserve">제휴사에게 </t>
    </r>
    <r>
      <rPr>
        <sz val="9"/>
        <color rgb="FF888888"/>
        <rFont val="Arial"/>
        <family val="0"/>
        <charset val="1"/>
      </rPr>
      <t xml:space="preserve">$6.30/</t>
    </r>
    <r>
      <rPr>
        <sz val="9"/>
        <color rgb="FF888888"/>
        <rFont val="Noto Sans CJK KR"/>
        <family val="2"/>
      </rPr>
      <t xml:space="preserve">건 → 강력한 제휴 유인</t>
    </r>
  </si>
  <si>
    <r>
      <rPr>
        <sz val="10"/>
        <color rgb="FF1A2030"/>
        <rFont val="Noto Sans CJK KR"/>
        <family val="2"/>
      </rPr>
      <t xml:space="preserve">  참고</t>
    </r>
    <r>
      <rPr>
        <sz val="10"/>
        <color rgb="FF1A2030"/>
        <rFont val="Arial"/>
        <family val="0"/>
        <charset val="1"/>
      </rPr>
      <t xml:space="preserve">: </t>
    </r>
    <r>
      <rPr>
        <sz val="10"/>
        <color rgb="FF1A2030"/>
        <rFont val="Noto Sans CJK KR"/>
        <family val="2"/>
      </rPr>
      <t xml:space="preserve">민철님 </t>
    </r>
    <r>
      <rPr>
        <sz val="10"/>
        <color rgb="FF1A2030"/>
        <rFont val="Arial"/>
        <family val="0"/>
        <charset val="1"/>
      </rPr>
      <t xml:space="preserve">T1 </t>
    </r>
    <r>
      <rPr>
        <sz val="10"/>
        <color rgb="FF1A2030"/>
        <rFont val="Noto Sans CJK KR"/>
        <family val="2"/>
      </rPr>
      <t xml:space="preserve">실수령</t>
    </r>
    <r>
      <rPr>
        <sz val="10"/>
        <color rgb="FF1A2030"/>
        <rFont val="Arial"/>
        <family val="0"/>
        <charset val="1"/>
      </rPr>
      <t xml:space="preserve">/</t>
    </r>
    <r>
      <rPr>
        <sz val="10"/>
        <color rgb="FF1A2030"/>
        <rFont val="Noto Sans CJK KR"/>
        <family val="2"/>
      </rPr>
      <t xml:space="preserve">건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제휴 경유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</si>
  <si>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9"/>
        <color rgb="FF888888"/>
        <rFont val="Noto Sans CJK KR"/>
        <family val="2"/>
      </rPr>
      <t xml:space="preserve">약 </t>
    </r>
    <r>
      <rPr>
        <sz val="9"/>
        <color rgb="FF888888"/>
        <rFont val="Arial"/>
        <family val="0"/>
        <charset val="1"/>
      </rPr>
      <t xml:space="preserve">$2.43/</t>
    </r>
    <r>
      <rPr>
        <sz val="9"/>
        <color rgb="FF888888"/>
        <rFont val="Noto Sans CJK KR"/>
        <family val="2"/>
      </rPr>
      <t xml:space="preserve">건 — </t>
    </r>
    <r>
      <rPr>
        <sz val="9"/>
        <color rgb="FF888888"/>
        <rFont val="Arial"/>
        <family val="0"/>
        <charset val="1"/>
      </rPr>
      <t xml:space="preserve">BUT </t>
    </r>
    <r>
      <rPr>
        <sz val="9"/>
        <color rgb="FF888888"/>
        <rFont val="Noto Sans CJK KR"/>
        <family val="2"/>
      </rPr>
      <t xml:space="preserve">직접판매는 </t>
    </r>
    <r>
      <rPr>
        <sz val="9"/>
        <color rgb="FF888888"/>
        <rFont val="Arial"/>
        <family val="0"/>
        <charset val="1"/>
      </rPr>
      <t xml:space="preserve">$8.11/</t>
    </r>
    <r>
      <rPr>
        <sz val="9"/>
        <color rgb="FF888888"/>
        <rFont val="Noto Sans CJK KR"/>
        <family val="2"/>
      </rPr>
      <t xml:space="preserve">건 </t>
    </r>
    <r>
      <rPr>
        <sz val="9"/>
        <color rgb="FF888888"/>
        <rFont val="Arial"/>
        <family val="0"/>
        <charset val="1"/>
      </rPr>
      <t xml:space="preserve">(</t>
    </r>
    <r>
      <rPr>
        <sz val="9"/>
        <color rgb="FF888888"/>
        <rFont val="Noto Sans CJK KR"/>
        <family val="2"/>
      </rPr>
      <t xml:space="preserve">수수료만 차감</t>
    </r>
    <r>
      <rPr>
        <sz val="9"/>
        <color rgb="FF888888"/>
        <rFont val="Arial"/>
        <family val="0"/>
        <charset val="1"/>
      </rPr>
      <t xml:space="preserve">)</t>
    </r>
  </si>
  <si>
    <r>
      <rPr>
        <sz val="9"/>
        <color rgb="FF0D7377"/>
        <rFont val="Noto Sans CJK KR"/>
        <family val="2"/>
      </rPr>
      <t xml:space="preserve">💡 전략</t>
    </r>
    <r>
      <rPr>
        <sz val="9"/>
        <color rgb="FF0D7377"/>
        <rFont val="Arial"/>
        <family val="0"/>
        <charset val="1"/>
      </rPr>
      <t xml:space="preserve">: Tier1(70%) = </t>
    </r>
    <r>
      <rPr>
        <sz val="9"/>
        <color rgb="FF0D7377"/>
        <rFont val="Noto Sans CJK KR"/>
        <family val="2"/>
      </rPr>
      <t xml:space="preserve">제휴사 적극 홍보 유도 → 대량 유입 → 직접 재구매</t>
    </r>
    <r>
      <rPr>
        <sz val="9"/>
        <color rgb="FF0D7377"/>
        <rFont val="Arial"/>
        <family val="0"/>
        <charset val="1"/>
      </rPr>
      <t xml:space="preserve">(Tier2/3)</t>
    </r>
    <r>
      <rPr>
        <sz val="9"/>
        <color rgb="FF0D7377"/>
        <rFont val="Noto Sans CJK KR"/>
        <family val="2"/>
      </rPr>
      <t xml:space="preserve">로 수익</t>
    </r>
    <r>
      <rPr>
        <sz val="9"/>
        <color rgb="FF0D7377"/>
        <rFont val="Arial"/>
        <family val="0"/>
        <charset val="1"/>
      </rPr>
      <t xml:space="preserve">. Tier2/3 </t>
    </r>
    <r>
      <rPr>
        <sz val="9"/>
        <color rgb="FF0D7377"/>
        <rFont val="Noto Sans CJK KR"/>
        <family val="2"/>
      </rPr>
      <t xml:space="preserve">직접판매 시 수수료만 </t>
    </r>
    <r>
      <rPr>
        <sz val="9"/>
        <color rgb="FF0D7377"/>
        <rFont val="Arial"/>
        <family val="0"/>
        <charset val="1"/>
      </rPr>
      <t xml:space="preserve">9.9% </t>
    </r>
    <r>
      <rPr>
        <sz val="9"/>
        <color rgb="FF0D7377"/>
        <rFont val="Noto Sans CJK KR"/>
        <family val="2"/>
      </rPr>
      <t xml:space="preserve">차감 → 순 수령 </t>
    </r>
    <r>
      <rPr>
        <sz val="9"/>
        <color rgb="FF0D7377"/>
        <rFont val="Arial"/>
        <family val="0"/>
        <charset val="1"/>
      </rPr>
      <t xml:space="preserve">$13.50/$17.12</t>
    </r>
    <r>
      <rPr>
        <sz val="9"/>
        <color rgb="FF0D7377"/>
        <rFont val="Noto Sans CJK KR"/>
        <family val="2"/>
      </rPr>
      <t xml:space="preserve">로 상승</t>
    </r>
    <r>
      <rPr>
        <sz val="9"/>
        <color rgb="FF0D7377"/>
        <rFont val="Arial"/>
        <family val="0"/>
        <charset val="1"/>
      </rPr>
      <t xml:space="preserve">.</t>
    </r>
  </si>
  <si>
    <r>
      <rPr>
        <b val="true"/>
        <sz val="13"/>
        <color rgb="FFFFFFFF"/>
        <rFont val="Arial"/>
        <family val="0"/>
        <charset val="1"/>
      </rPr>
      <t xml:space="preserve">📈 Hotmart </t>
    </r>
    <r>
      <rPr>
        <b val="true"/>
        <sz val="13"/>
        <color rgb="FFFFFFFF"/>
        <rFont val="Noto Sans CJK KR"/>
        <family val="2"/>
      </rPr>
      <t xml:space="preserve">리포트 — 월별 매출 시뮬레이션 </t>
    </r>
    <r>
      <rPr>
        <b val="true"/>
        <sz val="13"/>
        <color rgb="FFFFFFFF"/>
        <rFont val="Arial"/>
        <family val="0"/>
        <charset val="1"/>
      </rPr>
      <t xml:space="preserve">(12</t>
    </r>
    <r>
      <rPr>
        <b val="true"/>
        <sz val="13"/>
        <color rgb="FFFFFFFF"/>
        <rFont val="Noto Sans CJK KR"/>
        <family val="2"/>
      </rPr>
      <t xml:space="preserve">개월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</si>
  <si>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수량은 '가정값' 시트 기준 · 월 성장률 자동 반영 · 8유형 완성 시나리오 포함</t>
  </si>
  <si>
    <t xml:space="preserve">상품</t>
  </si>
  <si>
    <t xml:space="preserve">단가($)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</si>
  <si>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</si>
  <si>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</si>
  <si>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</si>
  <si>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</si>
  <si>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</si>
  <si>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</si>
  <si>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</si>
  <si>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</si>
  <si>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</si>
  <si>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</si>
  <si>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</si>
  <si>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</si>
  <si>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r>
      <rPr>
        <sz val="10"/>
        <color rgb="FF1A2030"/>
        <rFont val="Arial"/>
        <family val="0"/>
        <charset val="1"/>
      </rPr>
      <t xml:space="preserve">Tier 1  ·  Basic 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A</t>
    </r>
  </si>
  <si>
    <r>
      <rPr>
        <sz val="10"/>
        <color rgb="FF1A2030"/>
        <rFont val="Arial"/>
        <family val="0"/>
        <charset val="1"/>
      </rPr>
      <t xml:space="preserve">Tier 2  ·  T1 </t>
    </r>
    <r>
      <rPr>
        <sz val="10"/>
        <color rgb="FF1A2030"/>
        <rFont val="Noto Sans CJK KR"/>
        <family val="2"/>
      </rPr>
      <t xml:space="preserve">전체 </t>
    </r>
    <r>
      <rPr>
        <sz val="10"/>
        <color rgb="FF1A2030"/>
        <rFont val="Arial"/>
        <family val="0"/>
        <charset val="1"/>
      </rPr>
      <t xml:space="preserve">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B + Deep</t>
    </r>
  </si>
  <si>
    <r>
      <rPr>
        <sz val="10"/>
        <color rgb="FF1A2030"/>
        <rFont val="Arial"/>
        <family val="0"/>
        <charset val="1"/>
      </rPr>
      <t xml:space="preserve">Tier 3  ·  T2 </t>
    </r>
    <r>
      <rPr>
        <sz val="10"/>
        <color rgb="FF1A2030"/>
        <rFont val="Noto Sans CJK KR"/>
        <family val="2"/>
      </rPr>
      <t xml:space="preserve">전체 </t>
    </r>
    <r>
      <rPr>
        <sz val="10"/>
        <color rgb="FF1A2030"/>
        <rFont val="Arial"/>
        <family val="0"/>
        <charset val="1"/>
      </rPr>
      <t xml:space="preserve">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C + Master</t>
    </r>
  </si>
  <si>
    <t xml:space="preserve">총 매출 (Gross)</t>
  </si>
  <si>
    <t xml:space="preserve">  차감: Hotmart 수수료 (9.9%)</t>
  </si>
  <si>
    <r>
      <rPr>
        <sz val="10"/>
        <color rgb="FF666666"/>
        <rFont val="Noto Sans CJK KR"/>
        <family val="2"/>
      </rPr>
      <t xml:space="preserve">  차감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Noto Sans CJK KR"/>
        <family val="2"/>
      </rPr>
      <t xml:space="preserve">제휴 커미션 </t>
    </r>
    <r>
      <rPr>
        <sz val="10"/>
        <color rgb="FF666666"/>
        <rFont val="Arial"/>
        <family val="0"/>
        <charset val="1"/>
      </rPr>
      <t xml:space="preserve">(</t>
    </r>
    <r>
      <rPr>
        <sz val="10"/>
        <color rgb="FF666666"/>
        <rFont val="Noto Sans CJK KR"/>
        <family val="2"/>
      </rPr>
      <t xml:space="preserve">티어별 차등 </t>
    </r>
    <r>
      <rPr>
        <sz val="10"/>
        <color rgb="FF666666"/>
        <rFont val="Arial"/>
        <family val="0"/>
        <charset val="1"/>
      </rPr>
      <t xml:space="preserve">T1:70% T2:40% T3:30%)</t>
    </r>
  </si>
  <si>
    <t xml:space="preserve">▶ 순 수익 (현재 유형 수 기준)</t>
  </si>
  <si>
    <r>
      <rPr>
        <b val="true"/>
        <sz val="10"/>
        <color rgb="FF1A2030"/>
        <rFont val="Arial"/>
        <family val="0"/>
        <charset val="1"/>
      </rPr>
      <t xml:space="preserve">★ 8</t>
    </r>
    <r>
      <rPr>
        <b val="true"/>
        <sz val="10"/>
        <color rgb="FF1A2030"/>
        <rFont val="Noto Sans CJK KR"/>
        <family val="2"/>
      </rPr>
      <t xml:space="preserve">유형 완성 시 순 수익</t>
    </r>
  </si>
  <si>
    <t xml:space="preserve">누적 순 수익 (8유형 기준)</t>
  </si>
  <si>
    <t xml:space="preserve">연간 합계 요약</t>
  </si>
  <si>
    <t xml:space="preserve">연간 총 매출 (현 2유형)</t>
  </si>
  <si>
    <t xml:space="preserve">연간 순 수익 (현 2유형)</t>
  </si>
  <si>
    <t xml:space="preserve">연간 순 수익 (8유형 완성)</t>
  </si>
  <si>
    <t xml:space="preserve">월평균 순 수익 (8유형)</t>
  </si>
  <si>
    <r>
      <rPr>
        <b val="true"/>
        <sz val="10"/>
        <color rgb="FF1A2030"/>
        <rFont val="Arial"/>
        <family val="0"/>
        <charset val="1"/>
      </rPr>
      <t xml:space="preserve">12</t>
    </r>
    <r>
      <rPr>
        <b val="true"/>
        <sz val="10"/>
        <color rgb="FF1A2030"/>
        <rFont val="Noto Sans CJK KR"/>
        <family val="2"/>
      </rPr>
      <t xml:space="preserve">개월 누적 순 수익 </t>
    </r>
    <r>
      <rPr>
        <b val="true"/>
        <sz val="10"/>
        <color rgb="FF1A2030"/>
        <rFont val="Arial"/>
        <family val="0"/>
        <charset val="1"/>
      </rPr>
      <t xml:space="preserve">(8</t>
    </r>
    <r>
      <rPr>
        <b val="true"/>
        <sz val="10"/>
        <color rgb="FF1A2030"/>
        <rFont val="Noto Sans CJK KR"/>
        <family val="2"/>
      </rPr>
      <t xml:space="preserve">유형</t>
    </r>
    <r>
      <rPr>
        <b val="true"/>
        <sz val="10"/>
        <color rgb="FF1A2030"/>
        <rFont val="Arial"/>
        <family val="0"/>
        <charset val="1"/>
      </rPr>
      <t xml:space="preserve">)</t>
    </r>
  </si>
  <si>
    <t xml:space="preserve">🎯 시나리오 비교 — 보수적 / 기본 / 낙관 / 드림</t>
  </si>
  <si>
    <t xml:space="preserve">각 시나리오는 독립 가정값 — 파란색 셀을 직접 수정하세요</t>
  </si>
  <si>
    <t xml:space="preserve">가정 항목</t>
  </si>
  <si>
    <t xml:space="preserve">보수적 😐</t>
  </si>
  <si>
    <t xml:space="preserve">기본 🙂</t>
  </si>
  <si>
    <t xml:space="preserve">낙관 😊</t>
  </si>
  <si>
    <t xml:space="preserve">드림 🚀</t>
  </si>
  <si>
    <t xml:space="preserve">운영 유형 수</t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</si>
  <si>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월 판매량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유형당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</si>
  <si>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월 판매량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유형당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</si>
  <si>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월 판매량 </t>
    </r>
    <r>
      <rPr>
        <sz val="10"/>
        <color rgb="FF1A2030"/>
        <rFont val="Arial"/>
        <family val="0"/>
        <charset val="1"/>
      </rPr>
      <t xml:space="preserve">(</t>
    </r>
    <r>
      <rPr>
        <sz val="10"/>
        <color rgb="FF1A2030"/>
        <rFont val="Noto Sans CJK KR"/>
        <family val="2"/>
      </rPr>
      <t xml:space="preserve">유형당</t>
    </r>
    <r>
      <rPr>
        <sz val="10"/>
        <color rgb="FF1A2030"/>
        <rFont val="Arial"/>
        <family val="0"/>
        <charset val="1"/>
      </rPr>
      <t xml:space="preserve">)</t>
    </r>
  </si>
  <si>
    <t xml:space="preserve">월 성장률</t>
  </si>
  <si>
    <t xml:space="preserve">제휴 매출 비중</t>
  </si>
  <si>
    <r>
      <rPr>
        <sz val="10"/>
        <color rgb="FF1A2030"/>
        <rFont val="Noto Sans CJK KR"/>
        <family val="2"/>
      </rPr>
      <t xml:space="preserve">제휴 커미션율 — </t>
    </r>
    <r>
      <rPr>
        <sz val="10"/>
        <color rgb="FF1A2030"/>
        <rFont val="Arial"/>
        <family val="0"/>
        <charset val="1"/>
      </rPr>
      <t xml:space="preserve">Tier 1 (70%)</t>
    </r>
  </si>
  <si>
    <r>
      <rPr>
        <sz val="10"/>
        <color rgb="FF1A2030"/>
        <rFont val="Noto Sans CJK KR"/>
        <family val="2"/>
      </rPr>
      <t xml:space="preserve">제휴 커미션율 — </t>
    </r>
    <r>
      <rPr>
        <sz val="10"/>
        <color rgb="FF1A2030"/>
        <rFont val="Arial"/>
        <family val="0"/>
        <charset val="1"/>
      </rPr>
      <t xml:space="preserve">Tier 2 (40%)</t>
    </r>
  </si>
  <si>
    <r>
      <rPr>
        <sz val="10"/>
        <color rgb="FF1A2030"/>
        <rFont val="Noto Sans CJK KR"/>
        <family val="2"/>
      </rPr>
      <t xml:space="preserve">제휴 커미션율 — </t>
    </r>
    <r>
      <rPr>
        <sz val="10"/>
        <color rgb="FF1A2030"/>
        <rFont val="Arial"/>
        <family val="0"/>
        <charset val="1"/>
      </rPr>
      <t xml:space="preserve">Tier 3 (30%)</t>
    </r>
  </si>
  <si>
    <t xml:space="preserve">📊 시나리오별 M12 (12개월 후) 월 순 수익</t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</si>
  <si>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월 매출 </t>
    </r>
    <r>
      <rPr>
        <sz val="10"/>
        <color rgb="FF1A2030"/>
        <rFont val="Arial"/>
        <family val="0"/>
        <charset val="1"/>
      </rPr>
      <t xml:space="preserve">(M12)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</si>
  <si>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월 매출 </t>
    </r>
    <r>
      <rPr>
        <sz val="10"/>
        <color rgb="FF1A2030"/>
        <rFont val="Arial"/>
        <family val="0"/>
        <charset val="1"/>
      </rPr>
      <t xml:space="preserve">(M12)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</si>
  <si>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월 매출 </t>
    </r>
    <r>
      <rPr>
        <sz val="10"/>
        <color rgb="FF1A2030"/>
        <rFont val="Arial"/>
        <family val="0"/>
        <charset val="1"/>
      </rPr>
      <t xml:space="preserve">(M12)</t>
    </r>
  </si>
  <si>
    <t xml:space="preserve">총 매출 Gross (M12)</t>
  </si>
  <si>
    <t xml:space="preserve">  차감: Hotmart 9.9%</t>
  </si>
  <si>
    <r>
      <rPr>
        <sz val="10"/>
        <color rgb="FF666666"/>
        <rFont val="Noto Sans CJK KR"/>
        <family val="2"/>
      </rPr>
      <t xml:space="preserve">  차감</t>
    </r>
    <r>
      <rPr>
        <sz val="10"/>
        <color rgb="FF666666"/>
        <rFont val="Arial"/>
        <family val="0"/>
        <charset val="1"/>
      </rPr>
      <t xml:space="preserve">: </t>
    </r>
    <r>
      <rPr>
        <sz val="10"/>
        <color rgb="FF666666"/>
        <rFont val="Noto Sans CJK KR"/>
        <family val="2"/>
      </rPr>
      <t xml:space="preserve">제휴 커미션 </t>
    </r>
    <r>
      <rPr>
        <sz val="10"/>
        <color rgb="FF666666"/>
        <rFont val="Arial"/>
        <family val="0"/>
        <charset val="1"/>
      </rPr>
      <t xml:space="preserve">(T1:70% T2:40% T3:30%)</t>
    </r>
  </si>
  <si>
    <t xml:space="preserve">▶ 월 순 수익 (M12)</t>
  </si>
  <si>
    <t xml:space="preserve">★ 연간 순 수익 (추정)</t>
  </si>
  <si>
    <t xml:space="preserve">💰 원화 환산 (₩1,400/$1 기준)</t>
  </si>
  <si>
    <t xml:space="preserve">월 순 수익 (₩)</t>
  </si>
  <si>
    <t xml:space="preserve">연간 순 수익 (₩)</t>
  </si>
  <si>
    <t xml:space="preserve">⚡ 박리다매 전략 핵심 인사이트</t>
  </si>
  <si>
    <r>
      <rPr>
        <sz val="10"/>
        <color rgb="FF1A2030"/>
        <rFont val="Arial"/>
        <family val="0"/>
        <charset val="1"/>
      </rPr>
      <t xml:space="preserve">✅ $9/$15/$19 — </t>
    </r>
    <r>
      <rPr>
        <sz val="10"/>
        <color rgb="FF1A2030"/>
        <rFont val="Noto Sans CJK KR"/>
        <family val="2"/>
      </rPr>
      <t xml:space="preserve">남미 </t>
    </r>
    <r>
      <rPr>
        <sz val="10"/>
        <color rgb="FF1A2030"/>
        <rFont val="Arial"/>
        <family val="0"/>
        <charset val="1"/>
      </rPr>
      <t xml:space="preserve">WhatsApp </t>
    </r>
    <r>
      <rPr>
        <sz val="10"/>
        <color rgb="FF1A2030"/>
        <rFont val="Noto Sans CJK KR"/>
        <family val="2"/>
      </rPr>
      <t xml:space="preserve">충동구매 심리 구간</t>
    </r>
    <r>
      <rPr>
        <sz val="10"/>
        <color rgb="FF1A2030"/>
        <rFont val="Arial"/>
        <family val="0"/>
        <charset val="1"/>
      </rPr>
      <t xml:space="preserve">. </t>
    </r>
    <r>
      <rPr>
        <sz val="10"/>
        <color rgb="FF1A2030"/>
        <rFont val="Noto Sans CJK KR"/>
        <family val="2"/>
      </rPr>
      <t xml:space="preserve">결제 망설임 거의 없음</t>
    </r>
  </si>
  <si>
    <r>
      <rPr>
        <sz val="10"/>
        <color rgb="FF1A2030"/>
        <rFont val="Arial"/>
        <family val="0"/>
        <charset val="1"/>
      </rPr>
      <t xml:space="preserve">✅ Tier2</t>
    </r>
    <r>
      <rPr>
        <sz val="10"/>
        <color rgb="FF1A2030"/>
        <rFont val="Noto Sans CJK KR"/>
        <family val="2"/>
      </rPr>
      <t xml:space="preserve">가 주력 </t>
    </r>
    <r>
      <rPr>
        <sz val="10"/>
        <color rgb="FF1A2030"/>
        <rFont val="Arial"/>
        <family val="0"/>
        <charset val="1"/>
      </rPr>
      <t xml:space="preserve">($15) — Tier1 </t>
    </r>
    <r>
      <rPr>
        <sz val="10"/>
        <color rgb="FF1A2030"/>
        <rFont val="Noto Sans CJK KR"/>
        <family val="2"/>
      </rPr>
      <t xml:space="preserve">전체 포함이라 </t>
    </r>
    <r>
      <rPr>
        <sz val="10"/>
        <color rgb="FF1A2030"/>
        <rFont val="Arial"/>
        <family val="0"/>
        <charset val="1"/>
      </rPr>
      <t xml:space="preserve">'</t>
    </r>
    <r>
      <rPr>
        <sz val="10"/>
        <color rgb="FF1A2030"/>
        <rFont val="Noto Sans CJK KR"/>
        <family val="2"/>
      </rPr>
      <t xml:space="preserve">더 나은 선택</t>
    </r>
    <r>
      <rPr>
        <sz val="10"/>
        <color rgb="FF1A2030"/>
        <rFont val="Arial"/>
        <family val="0"/>
        <charset val="1"/>
      </rPr>
      <t xml:space="preserve">' </t>
    </r>
    <r>
      <rPr>
        <sz val="10"/>
        <color rgb="FF1A2030"/>
        <rFont val="Noto Sans CJK KR"/>
        <family val="2"/>
      </rPr>
      <t xml:space="preserve">자연 유도</t>
    </r>
  </si>
  <si>
    <t xml:space="preserve">✅ 손익분기 : Tier1 기준 월 112건 (유형당) → 2유형 합산 224건/월이면 수수료 커버</t>
  </si>
  <si>
    <t xml:space="preserve">✅ 볼륨 레버 : 가격↓ × 바이럴 속도↑ = 기본~낙관 시나리오 12개월 내 달성 현실적</t>
  </si>
  <si>
    <t xml:space="preserve">⚠ 드림 시나리오 ($18만/월) : Shadowgram 진단 월 10만+ 유입 + 스페인어판 필수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</si>
</sst>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%;\-0.0%;\-"/>
    <numFmt numFmtId="168" formatCode="\$#,##0;&quot;($&quot;#,##0\);\-"/>
    <numFmt numFmtId="169" formatCode="\$#,##0.00;&quot;($&quot;#,##0.00\);\-"/>
    <numFmt numFmtId="170" formatCode="#,##0\₩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sz val="9"/>
      <color rgb="FF1A2030"/>
      <name val="Noto Sans CJK KR"/>
      <family val="2"/>
      <charset val="1"/>
    </font>
    <font>
      <b val="true"/>
      <sz val="10"/>
      <color rgb="FFFFFFFF"/>
      <name val="Noto Sans CJK KR"/>
      <family val="2"/>
      <charset val="1"/>
    </font>
    <font>
      <sz val="10"/>
      <color rgb="FF1A2030"/>
      <name val="Arial"/>
      <family val="0"/>
      <charset val="1"/>
    </font>
    <font>
      <sz val="10"/>
      <color rgb="FF1A2030"/>
      <name val="Noto Sans CJK KR"/>
      <family val="2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888888"/>
      <name val="Noto Sans CJK KR"/>
      <family val="2"/>
    </font>
    <font>
      <b val="true"/>
      <sz val="10"/>
      <color rgb="FF1A2030"/>
      <name val="Arial"/>
      <family val="0"/>
      <charset val="1"/>
    </font>
    <font>
      <b val="true"/>
      <sz val="10"/>
      <color rgb="FF1A2030"/>
      <name val="Noto Sans CJK KR"/>
      <family val="2"/>
    </font>
    <font>
      <sz val="10"/>
      <color rgb="FF000000"/>
      <name val="Arial"/>
      <family val="0"/>
      <charset val="1"/>
    </font>
    <font>
      <sz val="9"/>
      <color rgb="FF888888"/>
      <name val="Noto Sans CJK KR"/>
      <family val="2"/>
      <charset val="1"/>
    </font>
    <font>
      <b val="true"/>
      <sz val="10"/>
      <color rgb="FF1A2030"/>
      <name val="Noto Sans CJK KR"/>
      <family val="2"/>
      <charset val="1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0D7377"/>
      <name val="Noto Sans CJK KR"/>
      <family val="2"/>
    </font>
    <font>
      <sz val="9"/>
      <color rgb="FF0D7377"/>
      <name val="Arial"/>
      <family val="0"/>
      <charset val="1"/>
    </font>
    <font>
      <sz val="10"/>
      <name val="Noto Sans CJK KR"/>
      <family val="2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sz val="10"/>
      <color rgb="FF008000"/>
      <name val="Arial"/>
      <family val="0"/>
      <charset val="1"/>
    </font>
    <font>
      <sz val="10"/>
      <color rgb="FF666666"/>
      <name val="Noto Sans CJK KR"/>
      <family val="2"/>
      <charset val="1"/>
    </font>
    <font>
      <sz val="10"/>
      <color rgb="FF666666"/>
      <name val="Noto Sans CJK KR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Noto Sans CJK KR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D7377"/>
      <name val="Noto Sans CJK KR"/>
      <family val="2"/>
      <charset val="1"/>
    </font>
    <font>
      <b val="true"/>
      <sz val="10"/>
      <color rgb="FF0D7377"/>
      <name val="Arial"/>
      <family val="0"/>
      <charset val="1"/>
    </font>
    <font>
      <sz val="10"/>
      <color rgb="FF1A2030"/>
      <name val="Noto Sans CJK KR"/>
      <family val="2"/>
      <charset val="1"/>
    </font>
    <font>
      <sz val="11"/>
      <color rgb="FF00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3"/>
      <color rgb="FFFFFFFF"/>
      <name val="Noto Sans CJK KR"/>
      <family val="2"/>
      <charset val="1"/>
    </font>
    <font>
      <b val="true"/>
      <sz val="11"/>
      <color rgb="FF888888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b val="true"/>
      <sz val="11"/>
      <color rgb="FF2E86AB"/>
      <name val="Arial"/>
      <family val="0"/>
      <charset val="1"/>
    </font>
    <font>
      <b val="true"/>
      <sz val="11"/>
      <color rgb="FFB8860B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color rgb="FF2E86AB"/>
      <name val="Arial"/>
      <family val="0"/>
      <charset val="1"/>
    </font>
    <font>
      <b val="true"/>
      <sz val="10"/>
      <color rgb="FFB8860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030"/>
        <bgColor rgb="FF333300"/>
      </patternFill>
    </fill>
    <fill>
      <patternFill patternType="solid">
        <fgColor rgb="FFFEF3E2"/>
        <bgColor rgb="FFF4F6F8"/>
      </patternFill>
    </fill>
    <fill>
      <patternFill patternType="solid">
        <fgColor rgb="FF0D7377"/>
        <bgColor rgb="FF008080"/>
      </patternFill>
    </fill>
    <fill>
      <patternFill patternType="solid">
        <fgColor rgb="FFF4F6F8"/>
        <bgColor rgb="FFFEF3E2"/>
      </patternFill>
    </fill>
    <fill>
      <patternFill patternType="solid">
        <fgColor rgb="FFFFFFFF"/>
        <bgColor rgb="FFF4F6F8"/>
      </patternFill>
    </fill>
    <fill>
      <patternFill patternType="solid">
        <fgColor rgb="FFFFFF00"/>
        <bgColor rgb="FFFFFF00"/>
      </patternFill>
    </fill>
    <fill>
      <patternFill patternType="solid">
        <fgColor rgb="FFE0F5F5"/>
        <bgColor rgb="FFF4F6F8"/>
      </patternFill>
    </fill>
    <fill>
      <patternFill patternType="solid">
        <fgColor rgb="FF888888"/>
        <bgColor rgb="FF969696"/>
      </patternFill>
    </fill>
    <fill>
      <patternFill patternType="solid">
        <fgColor rgb="FF2E86AB"/>
        <bgColor rgb="FF0D7377"/>
      </patternFill>
    </fill>
    <fill>
      <patternFill patternType="solid">
        <fgColor rgb="FFB8860B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D7377"/>
      <rgbColor rgb="FFCCCCCC"/>
      <rgbColor rgb="FF888888"/>
      <rgbColor rgb="FF9999FF"/>
      <rgbColor rgb="FF993366"/>
      <rgbColor rgb="FFFEF3E2"/>
      <rgbColor rgb="FFE0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6AB"/>
      <rgbColor rgb="FF003300"/>
      <rgbColor rgb="FF333300"/>
      <rgbColor rgb="FF993300"/>
      <rgbColor rgb="FF993366"/>
      <rgbColor rgb="FF555555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34"/>
  </cols>
  <sheetData>
    <row r="1" customFormat="false" ht="30" hidden="false" customHeight="true" outlineLevel="0" collapsed="false">
      <c r="A1" s="2" t="s">
        <v>0</v>
      </c>
    </row>
    <row r="2" customFormat="false" ht="18" hidden="false" customHeight="true" outlineLevel="0" collapsed="false">
      <c r="A2" s="3" t="s">
        <v>1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</row>
    <row r="5" customFormat="false" ht="18" hidden="false" customHeight="true" outlineLevel="0" collapsed="false">
      <c r="A5" s="5" t="s">
        <v>3</v>
      </c>
      <c r="B5" s="6" t="n">
        <v>9</v>
      </c>
      <c r="C5" s="7" t="s">
        <v>4</v>
      </c>
    </row>
    <row r="6" customFormat="false" ht="18" hidden="false" customHeight="true" outlineLevel="0" collapsed="false">
      <c r="A6" s="5" t="s">
        <v>5</v>
      </c>
      <c r="B6" s="8" t="n">
        <v>15</v>
      </c>
      <c r="C6" s="7" t="s">
        <v>6</v>
      </c>
    </row>
    <row r="7" customFormat="false" ht="18" hidden="false" customHeight="true" outlineLevel="0" collapsed="false">
      <c r="A7" s="9" t="s">
        <v>7</v>
      </c>
      <c r="B7" s="6" t="n">
        <v>19</v>
      </c>
      <c r="C7" s="7" t="s">
        <v>8</v>
      </c>
    </row>
    <row r="8" customFormat="false" ht="15" hidden="false" customHeight="true" outlineLevel="0" collapsed="false">
      <c r="A8" s="10"/>
      <c r="B8" s="10"/>
      <c r="C8" s="10"/>
    </row>
    <row r="9" customFormat="false" ht="21.75" hidden="false" customHeight="true" outlineLevel="0" collapsed="false">
      <c r="A9" s="4" t="s">
        <v>9</v>
      </c>
    </row>
    <row r="10" customFormat="false" ht="18" hidden="false" customHeight="true" outlineLevel="0" collapsed="false">
      <c r="A10" s="5" t="s">
        <v>10</v>
      </c>
      <c r="B10" s="11" t="n">
        <v>80</v>
      </c>
      <c r="C10" s="12" t="s">
        <v>11</v>
      </c>
    </row>
    <row r="11" customFormat="false" ht="18" hidden="false" customHeight="true" outlineLevel="0" collapsed="false">
      <c r="A11" s="5" t="s">
        <v>12</v>
      </c>
      <c r="B11" s="11" t="n">
        <v>50</v>
      </c>
      <c r="C11" s="12" t="s">
        <v>13</v>
      </c>
    </row>
    <row r="12" customFormat="false" ht="18" hidden="false" customHeight="true" outlineLevel="0" collapsed="false">
      <c r="A12" s="5" t="s">
        <v>14</v>
      </c>
      <c r="B12" s="13" t="n">
        <v>20</v>
      </c>
      <c r="C12" s="12" t="s">
        <v>15</v>
      </c>
    </row>
    <row r="13" customFormat="false" ht="15" hidden="false" customHeight="true" outlineLevel="0" collapsed="false">
      <c r="A13" s="10"/>
      <c r="B13" s="10"/>
      <c r="C13" s="10"/>
    </row>
    <row r="14" customFormat="false" ht="21.75" hidden="false" customHeight="true" outlineLevel="0" collapsed="false">
      <c r="A14" s="4" t="s">
        <v>16</v>
      </c>
    </row>
    <row r="15" customFormat="false" ht="18" hidden="false" customHeight="true" outlineLevel="0" collapsed="false">
      <c r="A15" s="14" t="s">
        <v>17</v>
      </c>
      <c r="B15" s="11" t="n">
        <v>2</v>
      </c>
      <c r="C15" s="12" t="s">
        <v>18</v>
      </c>
    </row>
    <row r="16" customFormat="false" ht="18" hidden="false" customHeight="true" outlineLevel="0" collapsed="false">
      <c r="A16" s="14" t="s">
        <v>19</v>
      </c>
      <c r="B16" s="11" t="n">
        <v>8</v>
      </c>
      <c r="C16" s="7" t="s">
        <v>20</v>
      </c>
    </row>
    <row r="17" customFormat="false" ht="18" hidden="false" customHeight="true" outlineLevel="0" collapsed="false">
      <c r="A17" s="5" t="s">
        <v>21</v>
      </c>
      <c r="B17" s="15" t="n">
        <v>0.099</v>
      </c>
      <c r="C17" s="7" t="s">
        <v>22</v>
      </c>
    </row>
    <row r="18" customFormat="false" ht="18" hidden="false" customHeight="true" outlineLevel="0" collapsed="false">
      <c r="A18" s="16" t="s">
        <v>23</v>
      </c>
      <c r="B18" s="17" t="n">
        <v>0.7</v>
      </c>
      <c r="C18" s="18" t="s">
        <v>24</v>
      </c>
    </row>
    <row r="19" customFormat="false" ht="18" hidden="false" customHeight="true" outlineLevel="0" collapsed="false">
      <c r="A19" s="19" t="s">
        <v>25</v>
      </c>
      <c r="B19" s="15" t="n">
        <v>0.4</v>
      </c>
      <c r="C19" s="18" t="s">
        <v>26</v>
      </c>
    </row>
    <row r="20" customFormat="false" ht="18" hidden="false" customHeight="true" outlineLevel="0" collapsed="false">
      <c r="A20" s="16" t="s">
        <v>27</v>
      </c>
      <c r="B20" s="15" t="n">
        <v>0.3</v>
      </c>
      <c r="C20" s="18" t="s">
        <v>28</v>
      </c>
    </row>
    <row r="21" customFormat="false" ht="18" hidden="false" customHeight="true" outlineLevel="0" collapsed="false">
      <c r="A21" s="19" t="s">
        <v>29</v>
      </c>
      <c r="B21" s="15" t="n">
        <v>0.2</v>
      </c>
      <c r="C21" s="20" t="s">
        <v>30</v>
      </c>
    </row>
    <row r="22" customFormat="false" ht="18" hidden="false" customHeight="true" outlineLevel="0" collapsed="false">
      <c r="A22" s="19" t="s">
        <v>31</v>
      </c>
      <c r="B22" s="17" t="n">
        <v>0.2</v>
      </c>
      <c r="C22" s="20" t="s">
        <v>32</v>
      </c>
    </row>
    <row r="23" customFormat="false" ht="15" hidden="false" customHeight="true" outlineLevel="0" collapsed="false">
      <c r="A23" s="21"/>
      <c r="B23" s="21"/>
      <c r="C23" s="21"/>
    </row>
    <row r="24" customFormat="false" ht="21.75" hidden="false" customHeight="true" outlineLevel="0" collapsed="false">
      <c r="A24" s="22" t="s">
        <v>33</v>
      </c>
      <c r="B24" s="22"/>
      <c r="C24" s="22"/>
    </row>
    <row r="25" customFormat="false" ht="18" hidden="false" customHeight="true" outlineLevel="0" collapsed="false">
      <c r="A25" s="19" t="s">
        <v>34</v>
      </c>
      <c r="B25" s="23" t="n">
        <f aca="false">B5*B10+B6*B11+B7*B12</f>
        <v>1850</v>
      </c>
      <c r="C25" s="24"/>
    </row>
    <row r="26" customFormat="false" ht="18" hidden="false" customHeight="true" outlineLevel="0" collapsed="false">
      <c r="A26" s="16" t="s">
        <v>35</v>
      </c>
      <c r="B26" s="25" t="n">
        <f aca="false">-B25*B17</f>
        <v>-183.15</v>
      </c>
      <c r="C26" s="24"/>
    </row>
    <row r="27" customFormat="false" ht="18" hidden="false" customHeight="true" outlineLevel="0" collapsed="false">
      <c r="A27" s="19" t="s">
        <v>36</v>
      </c>
      <c r="B27" s="25" t="n">
        <f aca="false">-(B5*B10*B18+B6*B11*B19+B7*B12*B20)*B21</f>
        <v>-183.6</v>
      </c>
      <c r="C27" s="24"/>
    </row>
    <row r="28" customFormat="false" ht="21.75" hidden="false" customHeight="true" outlineLevel="0" collapsed="false">
      <c r="A28" s="26" t="s">
        <v>37</v>
      </c>
      <c r="B28" s="27" t="n">
        <f aca="false">B25+B26+B27</f>
        <v>1483.25</v>
      </c>
      <c r="C28" s="24"/>
    </row>
    <row r="29" customFormat="false" ht="18" hidden="false" customHeight="true" outlineLevel="0" collapsed="false">
      <c r="A29" s="16" t="s">
        <v>38</v>
      </c>
      <c r="B29" s="28" t="n">
        <f aca="false">B5*B18</f>
        <v>6.3</v>
      </c>
      <c r="C29" s="20" t="s">
        <v>39</v>
      </c>
    </row>
    <row r="30" customFormat="false" ht="18" hidden="false" customHeight="true" outlineLevel="0" collapsed="false">
      <c r="A30" s="19" t="s">
        <v>40</v>
      </c>
      <c r="B30" s="28" t="n">
        <f aca="false">B5*(1-B17)*(1-B18)</f>
        <v>2.4327</v>
      </c>
      <c r="C30" s="20" t="s">
        <v>41</v>
      </c>
    </row>
    <row r="31" customFormat="false" ht="15" hidden="false" customHeight="true" outlineLevel="0" collapsed="false">
      <c r="A31" s="24"/>
      <c r="B31" s="24"/>
      <c r="C31" s="24"/>
    </row>
    <row r="32" customFormat="false" ht="36" hidden="false" customHeight="true" outlineLevel="0" collapsed="false">
      <c r="A32" s="29" t="s">
        <v>42</v>
      </c>
      <c r="B32" s="29"/>
      <c r="C32" s="29"/>
    </row>
    <row r="33" customFormat="false" ht="15" hidden="false" customHeight="true" outlineLevel="0" collapsed="false">
      <c r="A33" s="24"/>
      <c r="B33" s="24"/>
      <c r="C33" s="24"/>
    </row>
    <row r="34" customFormat="false" ht="15" hidden="false" customHeight="true" outlineLevel="0" collapsed="false">
      <c r="A34" s="24"/>
      <c r="B34" s="24"/>
      <c r="C34" s="24"/>
    </row>
    <row r="35" customFormat="false" ht="15" hidden="false" customHeight="true" outlineLevel="0" collapsed="false">
      <c r="A35" s="10"/>
      <c r="B35" s="10"/>
      <c r="C35" s="10"/>
    </row>
    <row r="36" customFormat="false" ht="15" hidden="false" customHeight="true" outlineLevel="0" collapsed="false">
      <c r="A36" s="10"/>
      <c r="B36" s="10"/>
      <c r="C36" s="10"/>
    </row>
    <row r="37" customFormat="false" ht="15" hidden="false" customHeight="true" outlineLevel="0" collapsed="false">
      <c r="A37" s="10"/>
      <c r="B37" s="10"/>
      <c r="C37" s="10"/>
    </row>
    <row r="38" customFormat="false" ht="15" hidden="false" customHeight="true" outlineLevel="0" collapsed="false">
      <c r="A38" s="10"/>
      <c r="B38" s="10"/>
      <c r="C38" s="10"/>
    </row>
    <row r="39" customFormat="false" ht="15" hidden="false" customHeight="true" outlineLevel="0" collapsed="false">
      <c r="A39" s="10"/>
      <c r="B39" s="10"/>
      <c r="C39" s="10"/>
    </row>
    <row r="40" customFormat="false" ht="15" hidden="false" customHeight="true" outlineLevel="0" collapsed="false">
      <c r="A40" s="10"/>
      <c r="B40" s="10"/>
      <c r="C40" s="10"/>
    </row>
    <row r="41" customFormat="false" ht="15" hidden="false" customHeight="true" outlineLevel="0" collapsed="false">
      <c r="A41" s="10"/>
      <c r="B41" s="10"/>
      <c r="C41" s="10"/>
    </row>
    <row r="42" customFormat="false" ht="15" hidden="false" customHeight="true" outlineLevel="0" collapsed="false">
      <c r="A42" s="10"/>
      <c r="B42" s="10"/>
      <c r="C42" s="10"/>
    </row>
    <row r="43" customFormat="false" ht="15" hidden="false" customHeight="true" outlineLevel="0" collapsed="false">
      <c r="A43" s="10"/>
      <c r="B43" s="10"/>
      <c r="C43" s="10"/>
    </row>
    <row r="44" customFormat="false" ht="15" hidden="false" customHeight="true" outlineLevel="0" collapsed="false">
      <c r="A44" s="10"/>
      <c r="B44" s="10"/>
      <c r="C44" s="10"/>
    </row>
    <row r="45" customFormat="false" ht="15" hidden="false" customHeight="true" outlineLevel="0" collapsed="false">
      <c r="A45" s="10"/>
      <c r="B45" s="10"/>
      <c r="C45" s="10"/>
    </row>
    <row r="46" customFormat="false" ht="15" hidden="false" customHeight="true" outlineLevel="0" collapsed="false">
      <c r="A46" s="10"/>
      <c r="B46" s="10"/>
      <c r="C46" s="10"/>
    </row>
    <row r="47" customFormat="false" ht="15" hidden="false" customHeight="true" outlineLevel="0" collapsed="false">
      <c r="A47" s="10"/>
      <c r="B47" s="10"/>
      <c r="C47" s="10"/>
    </row>
    <row r="48" customFormat="false" ht="15" hidden="false" customHeight="true" outlineLevel="0" collapsed="false">
      <c r="A48" s="10"/>
      <c r="B48" s="10"/>
      <c r="C48" s="10"/>
    </row>
    <row r="49" customFormat="false" ht="15" hidden="false" customHeight="true" outlineLevel="0" collapsed="false">
      <c r="A49" s="10"/>
      <c r="B49" s="10"/>
      <c r="C49" s="10"/>
    </row>
    <row r="50" customFormat="false" ht="15" hidden="false" customHeight="true" outlineLevel="0" collapsed="false">
      <c r="A50" s="10"/>
      <c r="B50" s="10"/>
      <c r="C50" s="10"/>
    </row>
    <row r="51" customFormat="false" ht="15" hidden="false" customHeight="true" outlineLevel="0" collapsed="false">
      <c r="A51" s="10"/>
      <c r="B51" s="10"/>
      <c r="C51" s="10"/>
    </row>
    <row r="52" customFormat="false" ht="15" hidden="false" customHeight="true" outlineLevel="0" collapsed="false">
      <c r="A52" s="10"/>
      <c r="B52" s="10"/>
      <c r="C52" s="10"/>
    </row>
    <row r="53" customFormat="false" ht="15" hidden="false" customHeight="true" outlineLevel="0" collapsed="false">
      <c r="A53" s="10"/>
      <c r="B53" s="10"/>
      <c r="C53" s="10"/>
    </row>
    <row r="54" customFormat="false" ht="15" hidden="false" customHeight="true" outlineLevel="0" collapsed="false">
      <c r="A54" s="10"/>
      <c r="B54" s="10"/>
      <c r="C54" s="10"/>
    </row>
    <row r="55" customFormat="false" ht="15" hidden="false" customHeight="true" outlineLevel="0" collapsed="false">
      <c r="A55" s="10"/>
      <c r="B55" s="10"/>
      <c r="C55" s="10"/>
    </row>
  </sheetData>
  <mergeCells count="2">
    <mergeCell ref="A24:C24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15" min="3" style="1" width="13"/>
  </cols>
  <sheetData>
    <row r="1" customFormat="false" ht="27.75" hidden="false" customHeight="true" outlineLevel="0" collapsed="false">
      <c r="A1" s="30" t="s">
        <v>43</v>
      </c>
    </row>
    <row r="2" customFormat="false" ht="15.75" hidden="false" customHeight="true" outlineLevel="0" collapsed="false">
      <c r="A2" s="3" t="s">
        <v>44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31" t="s">
        <v>45</v>
      </c>
      <c r="B4" s="31" t="s">
        <v>46</v>
      </c>
      <c r="C4" s="32" t="s">
        <v>47</v>
      </c>
      <c r="D4" s="32" t="s">
        <v>48</v>
      </c>
      <c r="E4" s="32" t="s">
        <v>49</v>
      </c>
      <c r="F4" s="32" t="s">
        <v>50</v>
      </c>
      <c r="G4" s="32" t="s">
        <v>51</v>
      </c>
      <c r="H4" s="32" t="s">
        <v>52</v>
      </c>
      <c r="I4" s="32" t="s">
        <v>53</v>
      </c>
      <c r="J4" s="32" t="s">
        <v>54</v>
      </c>
      <c r="K4" s="32" t="s">
        <v>55</v>
      </c>
      <c r="L4" s="32" t="s">
        <v>56</v>
      </c>
      <c r="M4" s="32" t="s">
        <v>57</v>
      </c>
      <c r="N4" s="32" t="s">
        <v>58</v>
      </c>
      <c r="O4" s="33"/>
    </row>
    <row r="5" customFormat="false" ht="18" hidden="false" customHeight="true" outlineLevel="0" collapsed="false">
      <c r="A5" s="34" t="s">
        <v>59</v>
      </c>
      <c r="B5" s="35" t="n">
        <f aca="false">가정값!B5</f>
        <v>9</v>
      </c>
      <c r="C5" s="36" t="n">
        <f aca="false">가정값!B5*(가정값!B10)*가정값!B15</f>
        <v>1440</v>
      </c>
      <c r="D5" s="36" t="n">
        <f aca="false">가정값!B5*(가정값!B10*(1+가정값!B20)^1)*가정값!B15</f>
        <v>1872</v>
      </c>
      <c r="E5" s="36" t="n">
        <f aca="false">가정값!B5*(가정값!B10*(1+가정값!B20)^2)*가정값!B15</f>
        <v>2433.6</v>
      </c>
      <c r="F5" s="36" t="n">
        <f aca="false">가정값!B5*(가정값!B10*(1+가정값!B20)^3)*가정값!B15</f>
        <v>3163.68</v>
      </c>
      <c r="G5" s="36" t="n">
        <f aca="false">가정값!B5*(가정값!B10*(1+가정값!B20)^4)*가정값!B15</f>
        <v>4112.784</v>
      </c>
      <c r="H5" s="36" t="n">
        <f aca="false">가정값!B5*(가정값!B10*(1+가정값!B20)^5)*가정값!B15</f>
        <v>5346.6192</v>
      </c>
      <c r="I5" s="36" t="n">
        <f aca="false">가정값!B5*(가정값!B10*(1+가정값!B20)^6)*가정값!B15</f>
        <v>6950.60496</v>
      </c>
      <c r="J5" s="36" t="n">
        <f aca="false">가정값!B5*(가정값!B10*(1+가정값!B20)^7)*가정값!B15</f>
        <v>9035.786448</v>
      </c>
      <c r="K5" s="36" t="n">
        <f aca="false">가정값!B5*(가정값!B10*(1+가정값!B20)^8)*가정값!B15</f>
        <v>11746.5223824</v>
      </c>
      <c r="L5" s="36" t="n">
        <f aca="false">가정값!B5*(가정값!B10*(1+가정값!B20)^9)*가정값!B15</f>
        <v>15270.47909712</v>
      </c>
      <c r="M5" s="36" t="n">
        <f aca="false">가정값!B5*(가정값!B10*(1+가정값!B20)^10)*가정값!B15</f>
        <v>19851.622826256</v>
      </c>
      <c r="N5" s="36" t="n">
        <f aca="false">가정값!B5*(가정값!B10*(1+가정값!B20)^11)*가정값!B15</f>
        <v>25807.1096741328</v>
      </c>
      <c r="O5" s="33"/>
    </row>
    <row r="6" customFormat="false" ht="18" hidden="false" customHeight="true" outlineLevel="0" collapsed="false">
      <c r="A6" s="37" t="s">
        <v>60</v>
      </c>
      <c r="B6" s="38" t="n">
        <f aca="false">가정값!B6</f>
        <v>15</v>
      </c>
      <c r="C6" s="39" t="n">
        <f aca="false">가정값!B6*(가정값!B11)*가정값!B15</f>
        <v>1500</v>
      </c>
      <c r="D6" s="39" t="n">
        <f aca="false">가정값!B6*(가정값!B11*(1+가정값!B20)^1)*가정값!B15</f>
        <v>1950</v>
      </c>
      <c r="E6" s="39" t="n">
        <f aca="false">가정값!B6*(가정값!B11*(1+가정값!B20)^2)*가정값!B15</f>
        <v>2535</v>
      </c>
      <c r="F6" s="39" t="n">
        <f aca="false">가정값!B6*(가정값!B11*(1+가정값!B20)^3)*가정값!B15</f>
        <v>3295.5</v>
      </c>
      <c r="G6" s="39" t="n">
        <f aca="false">가정값!B6*(가정값!B11*(1+가정값!B20)^4)*가정값!B15</f>
        <v>4284.15</v>
      </c>
      <c r="H6" s="39" t="n">
        <f aca="false">가정값!B6*(가정값!B11*(1+가정값!B20)^5)*가정값!B15</f>
        <v>5569.395</v>
      </c>
      <c r="I6" s="39" t="n">
        <f aca="false">가정값!B6*(가정값!B11*(1+가정값!B20)^6)*가정값!B15</f>
        <v>7240.2135</v>
      </c>
      <c r="J6" s="39" t="n">
        <f aca="false">가정값!B6*(가정값!B11*(1+가정값!B20)^7)*가정값!B15</f>
        <v>9412.27755</v>
      </c>
      <c r="K6" s="39" t="n">
        <f aca="false">가정값!B6*(가정값!B11*(1+가정값!B20)^8)*가정값!B15</f>
        <v>12235.960815</v>
      </c>
      <c r="L6" s="39" t="n">
        <f aca="false">가정값!B6*(가정값!B11*(1+가정값!B20)^9)*가정값!B15</f>
        <v>15906.7490595</v>
      </c>
      <c r="M6" s="39" t="n">
        <f aca="false">가정값!B6*(가정값!B11*(1+가정값!B20)^10)*가정값!B15</f>
        <v>20678.77377735</v>
      </c>
      <c r="N6" s="39" t="n">
        <f aca="false">가정값!B6*(가정값!B11*(1+가정값!B20)^11)*가정값!B15</f>
        <v>26882.405910555</v>
      </c>
      <c r="O6" s="33"/>
    </row>
    <row r="7" customFormat="false" ht="18" hidden="false" customHeight="true" outlineLevel="0" collapsed="false">
      <c r="A7" s="34" t="s">
        <v>61</v>
      </c>
      <c r="B7" s="35" t="n">
        <f aca="false">가정값!B7</f>
        <v>19</v>
      </c>
      <c r="C7" s="36" t="n">
        <f aca="false">가정값!B7*(가정값!B12)*가정값!B15</f>
        <v>760</v>
      </c>
      <c r="D7" s="36" t="n">
        <f aca="false">가정값!B7*(가정값!B12*(1+가정값!B20)^1)*가정값!B15</f>
        <v>988</v>
      </c>
      <c r="E7" s="36" t="n">
        <f aca="false">가정값!B7*(가정값!B12*(1+가정값!B20)^2)*가정값!B15</f>
        <v>1284.4</v>
      </c>
      <c r="F7" s="36" t="n">
        <f aca="false">가정값!B7*(가정값!B12*(1+가정값!B20)^3)*가정값!B15</f>
        <v>1669.72</v>
      </c>
      <c r="G7" s="36" t="n">
        <f aca="false">가정값!B7*(가정값!B12*(1+가정값!B20)^4)*가정값!B15</f>
        <v>2170.636</v>
      </c>
      <c r="H7" s="36" t="n">
        <f aca="false">가정값!B7*(가정값!B12*(1+가정값!B20)^5)*가정값!B15</f>
        <v>2821.8268</v>
      </c>
      <c r="I7" s="36" t="n">
        <f aca="false">가정값!B7*(가정값!B12*(1+가정값!B20)^6)*가정값!B15</f>
        <v>3668.37484</v>
      </c>
      <c r="J7" s="36" t="n">
        <f aca="false">가정값!B7*(가정값!B12*(1+가정값!B20)^7)*가정값!B15</f>
        <v>4768.887292</v>
      </c>
      <c r="K7" s="36" t="n">
        <f aca="false">가정값!B7*(가정값!B12*(1+가정값!B20)^8)*가정값!B15</f>
        <v>6199.5534796</v>
      </c>
      <c r="L7" s="36" t="n">
        <f aca="false">가정값!B7*(가정값!B12*(1+가정값!B20)^9)*가정값!B15</f>
        <v>8059.41952348</v>
      </c>
      <c r="M7" s="36" t="n">
        <f aca="false">가정값!B7*(가정값!B12*(1+가정값!B20)^10)*가정값!B15</f>
        <v>10477.245380524</v>
      </c>
      <c r="N7" s="36" t="n">
        <f aca="false">가정값!B7*(가정값!B12*(1+가정값!B20)^11)*가정값!B15</f>
        <v>13620.4189946812</v>
      </c>
      <c r="O7" s="33"/>
    </row>
    <row r="8" customFormat="false" ht="19.5" hidden="false" customHeight="true" outlineLevel="0" collapsed="false">
      <c r="A8" s="40" t="s">
        <v>62</v>
      </c>
      <c r="B8" s="41"/>
      <c r="C8" s="42" t="n">
        <f aca="false">SUM(C5:C7)</f>
        <v>3700</v>
      </c>
      <c r="D8" s="42" t="n">
        <f aca="false">SUM(D5:D7)</f>
        <v>4810</v>
      </c>
      <c r="E8" s="42" t="n">
        <f aca="false">SUM(E5:E7)</f>
        <v>6253</v>
      </c>
      <c r="F8" s="42" t="n">
        <f aca="false">SUM(F5:F7)</f>
        <v>8128.9</v>
      </c>
      <c r="G8" s="42" t="n">
        <f aca="false">SUM(G5:G7)</f>
        <v>10567.57</v>
      </c>
      <c r="H8" s="42" t="n">
        <f aca="false">SUM(H5:H7)</f>
        <v>13737.841</v>
      </c>
      <c r="I8" s="42" t="n">
        <f aca="false">SUM(I5:I7)</f>
        <v>17859.1933</v>
      </c>
      <c r="J8" s="42" t="n">
        <f aca="false">SUM(J5:J7)</f>
        <v>23216.95129</v>
      </c>
      <c r="K8" s="42" t="n">
        <f aca="false">SUM(K5:K7)</f>
        <v>30182.036677</v>
      </c>
      <c r="L8" s="42" t="n">
        <f aca="false">SUM(L5:L7)</f>
        <v>39236.6476801</v>
      </c>
      <c r="M8" s="42" t="n">
        <f aca="false">SUM(M5:M7)</f>
        <v>51007.64198413</v>
      </c>
      <c r="N8" s="42" t="n">
        <f aca="false">SUM(N5:N7)</f>
        <v>66309.934579369</v>
      </c>
      <c r="O8" s="33"/>
    </row>
    <row r="9" customFormat="false" ht="18" hidden="false" customHeight="true" outlineLevel="0" collapsed="false">
      <c r="A9" s="43" t="s">
        <v>63</v>
      </c>
      <c r="B9" s="44"/>
      <c r="C9" s="45" t="n">
        <f aca="false">-C8*가정값!B17</f>
        <v>-366.3</v>
      </c>
      <c r="D9" s="45" t="n">
        <f aca="false">-D8*가정값!B17</f>
        <v>-476.19</v>
      </c>
      <c r="E9" s="45" t="n">
        <f aca="false">-E8*가정값!B17</f>
        <v>-619.047</v>
      </c>
      <c r="F9" s="45" t="n">
        <f aca="false">-F8*가정값!B17</f>
        <v>-804.7611</v>
      </c>
      <c r="G9" s="45" t="n">
        <f aca="false">-G8*가정값!B17</f>
        <v>-1046.18943</v>
      </c>
      <c r="H9" s="45" t="n">
        <f aca="false">-H8*가정값!B17</f>
        <v>-1360.046259</v>
      </c>
      <c r="I9" s="45" t="n">
        <f aca="false">-I8*가정값!B17</f>
        <v>-1768.0601367</v>
      </c>
      <c r="J9" s="45" t="n">
        <f aca="false">-J8*가정값!B17</f>
        <v>-2298.47817771</v>
      </c>
      <c r="K9" s="45" t="n">
        <f aca="false">-K8*가정값!B17</f>
        <v>-2988.021631023</v>
      </c>
      <c r="L9" s="45" t="n">
        <f aca="false">-L8*가정값!B17</f>
        <v>-3884.4281203299</v>
      </c>
      <c r="M9" s="45" t="n">
        <f aca="false">-M8*가정값!B17</f>
        <v>-5049.75655642887</v>
      </c>
      <c r="N9" s="45" t="n">
        <f aca="false">-N8*가정값!B17</f>
        <v>-6564.68352335753</v>
      </c>
      <c r="O9" s="33"/>
    </row>
    <row r="10" customFormat="false" ht="18" hidden="false" customHeight="true" outlineLevel="0" collapsed="false">
      <c r="A10" s="46" t="s">
        <v>64</v>
      </c>
      <c r="B10" s="44"/>
      <c r="C10" s="47" t="n">
        <f aca="false">-(C5*가정값!B18+C6*가정값!B19+C7*가정값!B20)*가정값!B21</f>
        <v>-367.2</v>
      </c>
      <c r="D10" s="47" t="n">
        <f aca="false">-(D5*가정값!B18+D6*가정값!B19+D7*가정값!B20)*가정값!B21</f>
        <v>-477.36</v>
      </c>
      <c r="E10" s="47" t="n">
        <f aca="false">-(E5*가정값!B18+E6*가정값!B19+E7*가정값!B20)*가정값!B21</f>
        <v>-620.568</v>
      </c>
      <c r="F10" s="47" t="n">
        <f aca="false">-(F5*가정값!B18+F6*가정값!B19+F7*가정값!B20)*가정값!B21</f>
        <v>-806.7384</v>
      </c>
      <c r="G10" s="47" t="n">
        <f aca="false">-(G5*가정값!B18+G6*가정값!B19+G7*가정값!B20)*가정값!B21</f>
        <v>-1048.75992</v>
      </c>
      <c r="H10" s="47" t="n">
        <f aca="false">-(H5*가정값!B18+H6*가정값!B19+H7*가정값!B20)*가정값!B21</f>
        <v>-1363.387896</v>
      </c>
      <c r="I10" s="47" t="n">
        <f aca="false">-(I5*가정값!B18+I6*가정값!B19+I7*가정값!B20)*가정값!B21</f>
        <v>-1772.4042648</v>
      </c>
      <c r="J10" s="47" t="n">
        <f aca="false">-(J5*가정값!B18+J6*가정값!B19+J7*가정값!B20)*가정값!B21</f>
        <v>-2304.12554424</v>
      </c>
      <c r="K10" s="47" t="n">
        <f aca="false">-(K5*가정값!B18+K6*가정값!B19+K7*가정값!B20)*가정값!B21</f>
        <v>-2995.363207512</v>
      </c>
      <c r="L10" s="47" t="n">
        <f aca="false">-(L5*가정값!B18+L6*가정값!B19+L7*가정값!B20)*가정값!B21</f>
        <v>-3893.9721697656</v>
      </c>
      <c r="M10" s="47" t="n">
        <f aca="false">-(M5*가정값!B18+M6*가정값!B19+M7*가정값!B20)*가정값!B21</f>
        <v>-5062.16382069528</v>
      </c>
      <c r="N10" s="47" t="n">
        <f aca="false">-(N5*가정값!B18+N6*가정값!B19+N7*가정값!B20)*가정값!B21</f>
        <v>-6580.81296690387</v>
      </c>
      <c r="O10" s="33"/>
    </row>
    <row r="11" customFormat="false" ht="24" hidden="false" customHeight="true" outlineLevel="0" collapsed="false">
      <c r="A11" s="48" t="s">
        <v>65</v>
      </c>
      <c r="B11" s="49"/>
      <c r="C11" s="50" t="n">
        <f aca="false">C8+C9+C10</f>
        <v>2966.5</v>
      </c>
      <c r="D11" s="50" t="n">
        <f aca="false">D8+D9+D10</f>
        <v>3856.45</v>
      </c>
      <c r="E11" s="50" t="n">
        <f aca="false">E8+E9+E10</f>
        <v>5013.385</v>
      </c>
      <c r="F11" s="50" t="n">
        <f aca="false">F8+F9+F10</f>
        <v>6517.4005</v>
      </c>
      <c r="G11" s="50" t="n">
        <f aca="false">G8+G9+G10</f>
        <v>8472.62065</v>
      </c>
      <c r="H11" s="50" t="n">
        <f aca="false">H8+H9+H10</f>
        <v>11014.406845</v>
      </c>
      <c r="I11" s="50" t="n">
        <f aca="false">I8+I9+I10</f>
        <v>14318.7288985</v>
      </c>
      <c r="J11" s="50" t="n">
        <f aca="false">J8+J9+J10</f>
        <v>18614.34756805</v>
      </c>
      <c r="K11" s="50" t="n">
        <f aca="false">K8+K9+K10</f>
        <v>24198.651838465</v>
      </c>
      <c r="L11" s="50" t="n">
        <f aca="false">L8+L9+L10</f>
        <v>31458.2473900045</v>
      </c>
      <c r="M11" s="50" t="n">
        <f aca="false">M8+M9+M10</f>
        <v>40895.7216070059</v>
      </c>
      <c r="N11" s="50" t="n">
        <f aca="false">N8+N9+N10</f>
        <v>53164.4380891076</v>
      </c>
      <c r="O11" s="33"/>
    </row>
    <row r="12" customFormat="false" ht="19.5" hidden="false" customHeight="true" outlineLevel="0" collapsed="false">
      <c r="A12" s="51" t="s">
        <v>66</v>
      </c>
      <c r="B12" s="52"/>
      <c r="C12" s="53" t="n">
        <f aca="false">C11*가정값!B16/가정값!B15</f>
        <v>11866</v>
      </c>
      <c r="D12" s="53" t="n">
        <f aca="false">D11*가정값!B16/가정값!B15</f>
        <v>15425.8</v>
      </c>
      <c r="E12" s="53" t="n">
        <f aca="false">E11*가정값!B16/가정값!B15</f>
        <v>20053.54</v>
      </c>
      <c r="F12" s="53" t="n">
        <f aca="false">F11*가정값!B16/가정값!B15</f>
        <v>26069.602</v>
      </c>
      <c r="G12" s="53" t="n">
        <f aca="false">G11*가정값!B16/가정값!B15</f>
        <v>33890.4826</v>
      </c>
      <c r="H12" s="53" t="n">
        <f aca="false">H11*가정값!B16/가정값!B15</f>
        <v>44057.62738</v>
      </c>
      <c r="I12" s="53" t="n">
        <f aca="false">I11*가정값!B16/가정값!B15</f>
        <v>57274.915594</v>
      </c>
      <c r="J12" s="53" t="n">
        <f aca="false">J11*가정값!B16/가정값!B15</f>
        <v>74457.3902722</v>
      </c>
      <c r="K12" s="53" t="n">
        <f aca="false">K11*가정값!B16/가정값!B15</f>
        <v>96794.60735386</v>
      </c>
      <c r="L12" s="53" t="n">
        <f aca="false">L11*가정값!B16/가정값!B15</f>
        <v>125832.989560018</v>
      </c>
      <c r="M12" s="53" t="n">
        <f aca="false">M11*가정값!B16/가정값!B15</f>
        <v>163582.886428023</v>
      </c>
      <c r="N12" s="53" t="n">
        <f aca="false">N11*가정값!B16/가정값!B15</f>
        <v>212657.75235643</v>
      </c>
      <c r="O12" s="33"/>
    </row>
    <row r="13" customFormat="false" ht="15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customFormat="false" ht="19.5" hidden="false" customHeight="true" outlineLevel="0" collapsed="false">
      <c r="A14" s="54" t="s">
        <v>67</v>
      </c>
      <c r="B14" s="55"/>
      <c r="C14" s="56" t="n">
        <f aca="false">C12</f>
        <v>11866</v>
      </c>
      <c r="D14" s="56" t="n">
        <f aca="false">C14+D12</f>
        <v>27291.8</v>
      </c>
      <c r="E14" s="56" t="n">
        <f aca="false">D14+E12</f>
        <v>47345.34</v>
      </c>
      <c r="F14" s="56" t="n">
        <f aca="false">E14+F12</f>
        <v>73414.942</v>
      </c>
      <c r="G14" s="56" t="n">
        <f aca="false">F14+G12</f>
        <v>107305.4246</v>
      </c>
      <c r="H14" s="56" t="n">
        <f aca="false">G14+H12</f>
        <v>151363.05198</v>
      </c>
      <c r="I14" s="56" t="n">
        <f aca="false">H14+I12</f>
        <v>208637.967574</v>
      </c>
      <c r="J14" s="56" t="n">
        <f aca="false">I14+J12</f>
        <v>283095.3578462</v>
      </c>
      <c r="K14" s="56" t="n">
        <f aca="false">J14+K12</f>
        <v>379889.96520006</v>
      </c>
      <c r="L14" s="56" t="n">
        <f aca="false">K14+L12</f>
        <v>505722.954760078</v>
      </c>
      <c r="M14" s="56" t="n">
        <f aca="false">L14+M12</f>
        <v>669305.841188102</v>
      </c>
      <c r="N14" s="56" t="n">
        <f aca="false">M14+N12</f>
        <v>881963.593544532</v>
      </c>
      <c r="O14" s="33"/>
    </row>
    <row r="15" customFormat="false" ht="15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customFormat="false" ht="19.5" hidden="false" customHeight="true" outlineLevel="0" collapsed="false">
      <c r="A16" s="57" t="s">
        <v>68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33"/>
    </row>
    <row r="17" customFormat="false" ht="19.5" hidden="false" customHeight="true" outlineLevel="0" collapsed="false">
      <c r="A17" s="58" t="s">
        <v>69</v>
      </c>
      <c r="B17" s="59" t="n">
        <f aca="false">SUM(C8:N8)</f>
        <v>275009.716510599</v>
      </c>
      <c r="C17" s="59"/>
      <c r="D17" s="59"/>
      <c r="E17" s="59"/>
      <c r="F17" s="59"/>
      <c r="G17" s="59"/>
      <c r="H17" s="59"/>
      <c r="I17" s="33"/>
      <c r="J17" s="33"/>
      <c r="K17" s="33"/>
      <c r="L17" s="33"/>
      <c r="M17" s="33"/>
      <c r="N17" s="33"/>
      <c r="O17" s="33"/>
    </row>
    <row r="18" customFormat="false" ht="19.5" hidden="false" customHeight="true" outlineLevel="0" collapsed="false">
      <c r="A18" s="58" t="s">
        <v>70</v>
      </c>
      <c r="B18" s="59" t="n">
        <f aca="false">SUM(C11:N11)</f>
        <v>220490.898386133</v>
      </c>
      <c r="C18" s="59"/>
      <c r="D18" s="59"/>
      <c r="E18" s="59"/>
      <c r="F18" s="59"/>
      <c r="G18" s="59"/>
      <c r="H18" s="59"/>
      <c r="I18" s="33"/>
      <c r="J18" s="33"/>
      <c r="K18" s="33"/>
      <c r="L18" s="33"/>
      <c r="M18" s="33"/>
      <c r="N18" s="33"/>
      <c r="O18" s="33"/>
    </row>
    <row r="19" customFormat="false" ht="19.5" hidden="false" customHeight="true" outlineLevel="0" collapsed="false">
      <c r="A19" s="60" t="s">
        <v>71</v>
      </c>
      <c r="B19" s="61" t="n">
        <f aca="false">SUM(C12:N12)</f>
        <v>881963.593544532</v>
      </c>
      <c r="C19" s="61"/>
      <c r="D19" s="61"/>
      <c r="E19" s="61"/>
      <c r="F19" s="61"/>
      <c r="G19" s="61"/>
      <c r="H19" s="61"/>
      <c r="I19" s="33"/>
      <c r="J19" s="33"/>
      <c r="K19" s="33"/>
      <c r="L19" s="33"/>
      <c r="M19" s="33"/>
      <c r="N19" s="33"/>
      <c r="O19" s="33"/>
    </row>
    <row r="20" customFormat="false" ht="19.5" hidden="false" customHeight="true" outlineLevel="0" collapsed="false">
      <c r="A20" s="60" t="s">
        <v>72</v>
      </c>
      <c r="B20" s="61" t="n">
        <f aca="false">SUM(C12:N12)/12</f>
        <v>73496.966128711</v>
      </c>
      <c r="C20" s="61"/>
      <c r="D20" s="61"/>
      <c r="E20" s="61"/>
      <c r="F20" s="61"/>
      <c r="G20" s="61"/>
      <c r="H20" s="61"/>
      <c r="I20" s="33"/>
      <c r="J20" s="33"/>
      <c r="K20" s="33"/>
      <c r="L20" s="33"/>
      <c r="M20" s="33"/>
      <c r="N20" s="33"/>
      <c r="O20" s="33"/>
    </row>
    <row r="21" customFormat="false" ht="19.5" hidden="false" customHeight="true" outlineLevel="0" collapsed="false">
      <c r="A21" s="62" t="s">
        <v>73</v>
      </c>
      <c r="B21" s="61" t="n">
        <f aca="false">N14</f>
        <v>881963.593544532</v>
      </c>
      <c r="C21" s="61"/>
      <c r="D21" s="61"/>
      <c r="E21" s="61"/>
      <c r="F21" s="61"/>
      <c r="G21" s="61"/>
      <c r="H21" s="61"/>
      <c r="I21" s="33"/>
      <c r="J21" s="33"/>
      <c r="K21" s="33"/>
      <c r="L21" s="33"/>
      <c r="M21" s="33"/>
      <c r="N21" s="33"/>
      <c r="O21" s="33"/>
    </row>
    <row r="22" customFormat="false" ht="15" hidden="false" customHeight="tru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customFormat="false" ht="1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customFormat="false" ht="1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customFormat="false" ht="15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customFormat="false" ht="1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customFormat="false" ht="1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customFormat="false" ht="15" hidden="false" customHeight="tru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customFormat="false" ht="15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customFormat="false" ht="15" hidden="false" customHeight="tru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customFormat="false" ht="1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customFormat="false" ht="15" hidden="false" customHeight="tru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customFormat="false" ht="15" hidden="false" customHeight="tru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customFormat="false" ht="15" hidden="false" customHeight="tru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customFormat="false" ht="15" hidden="false" customHeight="tru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customFormat="false" ht="15" hidden="false" customHeight="tru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15" hidden="false" customHeight="tru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customFormat="false" ht="15" hidden="false" customHeight="tru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customFormat="false" ht="15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customFormat="false" ht="15" hidden="false" customHeight="tru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customFormat="false" ht="15" hidden="false" customHeight="tru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customFormat="false" ht="15" hidden="false" customHeight="tru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customFormat="false" ht="1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customFormat="false" ht="15" hidden="false" customHeight="tru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customFormat="false" ht="15" hidden="false" customHeight="tru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customFormat="false" ht="15" hidden="false" customHeight="tru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customFormat="false" ht="1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</row>
    <row r="48" customFormat="false" ht="15" hidden="false" customHeight="tru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 customFormat="false" ht="15" hidden="false" customHeight="tru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 customFormat="false" ht="15" hidden="false" customHeight="tru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</sheetData>
  <mergeCells count="6">
    <mergeCell ref="A16:N16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</cols>
  <sheetData>
    <row r="1" customFormat="false" ht="27.75" hidden="false" customHeight="true" outlineLevel="0" collapsed="false">
      <c r="A1" s="63" t="s">
        <v>74</v>
      </c>
    </row>
    <row r="2" customFormat="false" ht="15.75" hidden="false" customHeight="true" outlineLevel="0" collapsed="false">
      <c r="A2" s="3" t="s">
        <v>75</v>
      </c>
    </row>
    <row r="3" customFormat="false" ht="7.5" hidden="false" customHeight="true" outlineLevel="0" collapsed="false"/>
    <row r="4" customFormat="false" ht="24" hidden="false" customHeight="true" outlineLevel="0" collapsed="false">
      <c r="A4" s="64" t="s">
        <v>76</v>
      </c>
      <c r="B4" s="65" t="s">
        <v>77</v>
      </c>
      <c r="C4" s="66" t="s">
        <v>78</v>
      </c>
      <c r="D4" s="67" t="s">
        <v>79</v>
      </c>
      <c r="E4" s="68" t="s">
        <v>80</v>
      </c>
    </row>
    <row r="5" customFormat="false" ht="18" hidden="false" customHeight="true" outlineLevel="0" collapsed="false">
      <c r="A5" s="58" t="s">
        <v>81</v>
      </c>
      <c r="B5" s="13" t="n">
        <v>2</v>
      </c>
      <c r="C5" s="13" t="n">
        <v>4</v>
      </c>
      <c r="D5" s="13" t="n">
        <v>6</v>
      </c>
      <c r="E5" s="11" t="n">
        <v>8</v>
      </c>
    </row>
    <row r="6" customFormat="false" ht="18" hidden="false" customHeight="true" outlineLevel="0" collapsed="false">
      <c r="A6" s="37" t="s">
        <v>82</v>
      </c>
      <c r="B6" s="13" t="n">
        <v>20</v>
      </c>
      <c r="C6" s="13" t="n">
        <v>80</v>
      </c>
      <c r="D6" s="13" t="n">
        <v>200</v>
      </c>
      <c r="E6" s="11" t="n">
        <v>500</v>
      </c>
    </row>
    <row r="7" customFormat="false" ht="18" hidden="false" customHeight="true" outlineLevel="0" collapsed="false">
      <c r="A7" s="34" t="s">
        <v>83</v>
      </c>
      <c r="B7" s="13" t="n">
        <v>10</v>
      </c>
      <c r="C7" s="13" t="n">
        <v>50</v>
      </c>
      <c r="D7" s="13" t="n">
        <v>130</v>
      </c>
      <c r="E7" s="11" t="n">
        <v>320</v>
      </c>
    </row>
    <row r="8" customFormat="false" ht="18" hidden="false" customHeight="true" outlineLevel="0" collapsed="false">
      <c r="A8" s="37" t="s">
        <v>84</v>
      </c>
      <c r="B8" s="13" t="n">
        <v>5</v>
      </c>
      <c r="C8" s="13" t="n">
        <v>20</v>
      </c>
      <c r="D8" s="13" t="n">
        <v>50</v>
      </c>
      <c r="E8" s="11" t="n">
        <v>120</v>
      </c>
    </row>
    <row r="9" customFormat="false" ht="18" hidden="false" customHeight="true" outlineLevel="0" collapsed="false">
      <c r="A9" s="58" t="s">
        <v>85</v>
      </c>
      <c r="B9" s="15" t="n">
        <v>0.05</v>
      </c>
      <c r="C9" s="15" t="n">
        <v>0.2</v>
      </c>
      <c r="D9" s="15" t="n">
        <v>0.3</v>
      </c>
      <c r="E9" s="17" t="n">
        <v>0.5</v>
      </c>
    </row>
    <row r="10" customFormat="false" ht="18" hidden="false" customHeight="true" outlineLevel="0" collapsed="false">
      <c r="A10" s="69" t="s">
        <v>86</v>
      </c>
      <c r="B10" s="15" t="n">
        <v>0.1</v>
      </c>
      <c r="C10" s="15" t="n">
        <v>0.2</v>
      </c>
      <c r="D10" s="15" t="n">
        <v>0.35</v>
      </c>
      <c r="E10" s="17" t="n">
        <v>0.5</v>
      </c>
    </row>
    <row r="11" customFormat="false" ht="18" hidden="false" customHeight="true" outlineLevel="0" collapsed="false">
      <c r="A11" s="70" t="s">
        <v>87</v>
      </c>
      <c r="B11" s="17" t="n">
        <v>0.7</v>
      </c>
      <c r="C11" s="15" t="n">
        <v>0.7</v>
      </c>
      <c r="D11" s="15" t="n">
        <v>0.7</v>
      </c>
      <c r="E11" s="15" t="n">
        <v>0.7</v>
      </c>
    </row>
    <row r="12" customFormat="false" ht="18" hidden="false" customHeight="true" outlineLevel="0" collapsed="false">
      <c r="A12" s="71" t="s">
        <v>88</v>
      </c>
    </row>
    <row r="13" customFormat="false" ht="18" hidden="false" customHeight="true" outlineLevel="0" collapsed="false">
      <c r="A13" s="70" t="s">
        <v>89</v>
      </c>
      <c r="B13" s="15" t="n">
        <v>0.3</v>
      </c>
      <c r="C13" s="15" t="n">
        <v>0.3</v>
      </c>
      <c r="D13" s="15" t="n">
        <v>0.3</v>
      </c>
      <c r="E13" s="15" t="n">
        <v>0.3</v>
      </c>
    </row>
    <row r="14" customFormat="false" ht="18" hidden="false" customHeight="true" outlineLevel="0" collapsed="false">
      <c r="A14" s="33"/>
      <c r="B14" s="33"/>
      <c r="C14" s="33"/>
      <c r="D14" s="33"/>
      <c r="E14" s="33"/>
    </row>
    <row r="15" customFormat="false" ht="18" hidden="false" customHeight="true" outlineLevel="0" collapsed="false">
      <c r="A15" s="72" t="s">
        <v>90</v>
      </c>
      <c r="B15" s="72"/>
      <c r="C15" s="72"/>
      <c r="D15" s="72"/>
      <c r="E15" s="72"/>
    </row>
    <row r="16" customFormat="false" ht="18" hidden="false" customHeight="true" outlineLevel="0" collapsed="false">
      <c r="A16" s="34" t="s">
        <v>91</v>
      </c>
      <c r="B16" s="36" t="n">
        <f aca="false">9*B5*B6*(1+B9)^11</f>
        <v>615.722168921873</v>
      </c>
      <c r="C16" s="36" t="n">
        <f aca="false">9*C5*C6*(1+C9)^11</f>
        <v>21398.6410758144</v>
      </c>
      <c r="D16" s="36" t="n">
        <f aca="false">9*D5*D6*(1+D9)^11</f>
        <v>193553.322555996</v>
      </c>
      <c r="E16" s="36" t="n">
        <f aca="false">9*E5*E6*(1+E9)^11</f>
        <v>3113912.109375</v>
      </c>
    </row>
    <row r="17" customFormat="false" ht="18" hidden="false" customHeight="true" outlineLevel="0" collapsed="false">
      <c r="A17" s="37" t="s">
        <v>92</v>
      </c>
      <c r="B17" s="39" t="n">
        <f aca="false">15*B5*B7*(1+B9)^11</f>
        <v>513.101807434894</v>
      </c>
      <c r="C17" s="39" t="n">
        <f aca="false">15*C5*C7*(1+C9)^11</f>
        <v>22290.25112064</v>
      </c>
      <c r="D17" s="39" t="n">
        <f aca="false">15*D5*D7*(1+D9)^11</f>
        <v>209682.766102329</v>
      </c>
      <c r="E17" s="39" t="n">
        <f aca="false">15*E5*E7*(1+E9)^11</f>
        <v>3321506.25</v>
      </c>
    </row>
    <row r="18" customFormat="false" ht="18" hidden="false" customHeight="true" outlineLevel="0" collapsed="false">
      <c r="A18" s="34" t="s">
        <v>93</v>
      </c>
      <c r="B18" s="36" t="n">
        <f aca="false">19*B5*B8*(1+B9)^11</f>
        <v>324.9644780421</v>
      </c>
      <c r="C18" s="36" t="n">
        <f aca="false">19*C5*C8*(1+C9)^11</f>
        <v>11293.7272344576</v>
      </c>
      <c r="D18" s="36" t="n">
        <f aca="false">19*D5*D8*(1+D9)^11</f>
        <v>102153.142460109</v>
      </c>
      <c r="E18" s="36" t="n">
        <f aca="false">19*E5*E8*(1+E9)^11</f>
        <v>1577715.46875</v>
      </c>
    </row>
    <row r="19" customFormat="false" ht="21.75" hidden="false" customHeight="true" outlineLevel="0" collapsed="false">
      <c r="A19" s="69" t="s">
        <v>94</v>
      </c>
      <c r="B19" s="23" t="n">
        <f aca="false">B16+B17+B18</f>
        <v>1453.78845439887</v>
      </c>
      <c r="C19" s="23" t="n">
        <f aca="false">C16+C17+C18</f>
        <v>54982.619430912</v>
      </c>
      <c r="D19" s="23" t="n">
        <f aca="false">D16+D17+D18</f>
        <v>505389.231118434</v>
      </c>
      <c r="E19" s="23" t="n">
        <f aca="false">E16+E17+E18</f>
        <v>8013133.828125</v>
      </c>
    </row>
    <row r="20" customFormat="false" ht="21.75" hidden="false" customHeight="true" outlineLevel="0" collapsed="false">
      <c r="A20" s="58" t="s">
        <v>95</v>
      </c>
      <c r="B20" s="45" t="n">
        <f aca="false">-B16*0.099</f>
        <v>-60.9564947232654</v>
      </c>
      <c r="C20" s="45" t="n">
        <f aca="false">-C16*0.099</f>
        <v>-2118.46546650562</v>
      </c>
      <c r="D20" s="45" t="n">
        <f aca="false">-D16*0.099</f>
        <v>-19161.7789330436</v>
      </c>
      <c r="E20" s="45" t="n">
        <f aca="false">-E16*0.099</f>
        <v>-308277.298828125</v>
      </c>
    </row>
    <row r="21" customFormat="false" ht="15" hidden="false" customHeight="true" outlineLevel="0" collapsed="false">
      <c r="A21" s="73" t="s">
        <v>96</v>
      </c>
      <c r="B21" s="47" t="n">
        <f aca="false">-(B16*B11+B17*B12+B18*B13)*B10</f>
        <v>-52.8494861657941</v>
      </c>
      <c r="C21" s="47" t="n">
        <f aca="false">-(C16*C11+C17*C12+C18*C13)*C10</f>
        <v>-3673.43338468147</v>
      </c>
      <c r="D21" s="47" t="n">
        <f aca="false">-(D16*D11+D17*D12+D18*D13)*D10</f>
        <v>-58146.6439845305</v>
      </c>
      <c r="E21" s="47" t="n">
        <f aca="false">-(E16*E11+E17*E12+E18*E13)*E10</f>
        <v>-1326526.55859375</v>
      </c>
    </row>
    <row r="22" customFormat="false" ht="19.5" hidden="false" customHeight="true" outlineLevel="0" collapsed="false">
      <c r="A22" s="60" t="s">
        <v>97</v>
      </c>
      <c r="B22" s="74" t="n">
        <f aca="false">B19+B20+B21</f>
        <v>1339.98247350981</v>
      </c>
      <c r="C22" s="75" t="n">
        <f aca="false">C19+C20+C21</f>
        <v>49190.7205797249</v>
      </c>
      <c r="D22" s="76" t="n">
        <f aca="false">D19+D20+D21</f>
        <v>428080.80820086</v>
      </c>
      <c r="E22" s="77" t="n">
        <f aca="false">E19+E20+E21</f>
        <v>6378329.97070313</v>
      </c>
    </row>
    <row r="23" customFormat="false" ht="19.5" hidden="false" customHeight="true" outlineLevel="0" collapsed="false">
      <c r="A23" s="60" t="s">
        <v>98</v>
      </c>
      <c r="B23" s="74" t="n">
        <f aca="false">B22*12</f>
        <v>16079.7896821177</v>
      </c>
      <c r="C23" s="75" t="n">
        <f aca="false">C22*12</f>
        <v>590288.646956699</v>
      </c>
      <c r="D23" s="76" t="n">
        <f aca="false">D22*12</f>
        <v>5136969.69841032</v>
      </c>
      <c r="E23" s="77" t="n">
        <f aca="false">E22*12</f>
        <v>76539959.6484375</v>
      </c>
    </row>
    <row r="24" customFormat="false" ht="19.5" hidden="false" customHeight="true" outlineLevel="0" collapsed="false">
      <c r="A24" s="33"/>
      <c r="B24" s="33"/>
      <c r="C24" s="33"/>
      <c r="D24" s="33"/>
      <c r="E24" s="33"/>
    </row>
    <row r="25" customFormat="false" ht="15" hidden="false" customHeight="true" outlineLevel="0" collapsed="false">
      <c r="A25" s="72" t="s">
        <v>99</v>
      </c>
      <c r="B25" s="72"/>
      <c r="C25" s="72"/>
      <c r="D25" s="72"/>
      <c r="E25" s="72"/>
    </row>
    <row r="26" customFormat="false" ht="19.5" hidden="false" customHeight="true" outlineLevel="0" collapsed="false">
      <c r="A26" s="78" t="s">
        <v>100</v>
      </c>
      <c r="B26" s="79" t="n">
        <f aca="false">B22*1400</f>
        <v>1875975.46291373</v>
      </c>
      <c r="C26" s="80" t="n">
        <f aca="false">C22*1400</f>
        <v>68867008.8116148</v>
      </c>
      <c r="D26" s="81" t="n">
        <f aca="false">D22*1400</f>
        <v>599313131.481204</v>
      </c>
      <c r="E26" s="82" t="n">
        <f aca="false">E22*1400</f>
        <v>8929661958.98438</v>
      </c>
    </row>
    <row r="27" customFormat="false" ht="19.5" hidden="false" customHeight="true" outlineLevel="0" collapsed="false">
      <c r="A27" s="78" t="s">
        <v>101</v>
      </c>
      <c r="B27" s="79" t="n">
        <f aca="false">B23*1400</f>
        <v>22511705.5549648</v>
      </c>
      <c r="C27" s="80" t="n">
        <f aca="false">C23*1400</f>
        <v>826404105.739378</v>
      </c>
      <c r="D27" s="81" t="n">
        <f aca="false">D23*1400</f>
        <v>7191757577.77445</v>
      </c>
      <c r="E27" s="82" t="n">
        <f aca="false">E23*1400</f>
        <v>107155943507.813</v>
      </c>
    </row>
    <row r="28" customFormat="false" ht="19.5" hidden="false" customHeight="true" outlineLevel="0" collapsed="false">
      <c r="A28" s="33"/>
    </row>
    <row r="29" customFormat="false" ht="19.5" hidden="false" customHeight="true" outlineLevel="0" collapsed="false">
      <c r="A29" s="83" t="s">
        <v>102</v>
      </c>
      <c r="B29" s="83"/>
      <c r="C29" s="83"/>
      <c r="D29" s="83"/>
      <c r="E29" s="83"/>
    </row>
    <row r="30" customFormat="false" ht="19.5" hidden="false" customHeight="true" outlineLevel="0" collapsed="false">
      <c r="A30" s="84" t="s">
        <v>103</v>
      </c>
      <c r="B30" s="84"/>
      <c r="C30" s="84"/>
      <c r="D30" s="84"/>
      <c r="E30" s="84"/>
    </row>
    <row r="31" customFormat="false" ht="19.5" hidden="false" customHeight="true" outlineLevel="0" collapsed="false">
      <c r="A31" s="85" t="s">
        <v>104</v>
      </c>
      <c r="B31" s="85"/>
      <c r="C31" s="85"/>
      <c r="D31" s="85"/>
      <c r="E31" s="85"/>
    </row>
    <row r="32" customFormat="false" ht="15" hidden="false" customHeight="true" outlineLevel="0" collapsed="false">
      <c r="A32" s="86" t="s">
        <v>105</v>
      </c>
      <c r="B32" s="86"/>
      <c r="C32" s="86"/>
      <c r="D32" s="86"/>
      <c r="E32" s="86"/>
    </row>
    <row r="33" customFormat="false" ht="15" hidden="false" customHeight="true" outlineLevel="0" collapsed="false">
      <c r="A33" s="87" t="s">
        <v>106</v>
      </c>
      <c r="B33" s="87"/>
      <c r="C33" s="87"/>
      <c r="D33" s="87"/>
      <c r="E33" s="87"/>
    </row>
    <row r="34" customFormat="false" ht="15" hidden="false" customHeight="true" outlineLevel="0" collapsed="false">
      <c r="A34" s="86" t="s">
        <v>107</v>
      </c>
      <c r="B34" s="86"/>
      <c r="C34" s="86"/>
      <c r="D34" s="86"/>
      <c r="E34" s="86"/>
    </row>
    <row r="35" customFormat="false" ht="15" hidden="false" customHeight="true" outlineLevel="0" collapsed="false">
      <c r="A35" s="33"/>
      <c r="B35" s="33"/>
      <c r="C35" s="33"/>
      <c r="D35" s="33"/>
      <c r="E35" s="33"/>
    </row>
    <row r="36" customFormat="false" ht="15" hidden="false" customHeight="true" outlineLevel="0" collapsed="false">
      <c r="A36" s="33"/>
      <c r="B36" s="33"/>
      <c r="C36" s="33"/>
      <c r="D36" s="33"/>
      <c r="E36" s="33"/>
    </row>
    <row r="37" customFormat="false" ht="15" hidden="false" customHeight="true" outlineLevel="0" collapsed="false">
      <c r="A37" s="33"/>
      <c r="B37" s="33"/>
      <c r="C37" s="33"/>
      <c r="D37" s="33"/>
      <c r="E37" s="33"/>
    </row>
    <row r="38" customFormat="false" ht="15" hidden="false" customHeight="true" outlineLevel="0" collapsed="false">
      <c r="A38" s="33"/>
      <c r="B38" s="33"/>
      <c r="C38" s="33"/>
      <c r="D38" s="33"/>
      <c r="E38" s="33"/>
    </row>
    <row r="39" customFormat="false" ht="15" hidden="false" customHeight="true" outlineLevel="0" collapsed="false">
      <c r="A39" s="33"/>
      <c r="B39" s="33"/>
      <c r="C39" s="33"/>
      <c r="D39" s="33"/>
      <c r="E39" s="33"/>
    </row>
    <row r="40" customFormat="false" ht="15" hidden="false" customHeight="true" outlineLevel="0" collapsed="false">
      <c r="A40" s="33"/>
      <c r="B40" s="33"/>
      <c r="C40" s="33"/>
      <c r="D40" s="33"/>
      <c r="E40" s="33"/>
    </row>
    <row r="41" customFormat="false" ht="15" hidden="false" customHeight="true" outlineLevel="0" collapsed="false">
      <c r="A41" s="33"/>
      <c r="B41" s="33"/>
      <c r="C41" s="33"/>
      <c r="D41" s="33"/>
      <c r="E41" s="33"/>
    </row>
    <row r="42" customFormat="false" ht="15" hidden="false" customHeight="true" outlineLevel="0" collapsed="false">
      <c r="A42" s="33"/>
      <c r="B42" s="33"/>
      <c r="C42" s="33"/>
      <c r="D42" s="33"/>
      <c r="E42" s="33"/>
    </row>
    <row r="43" customFormat="false" ht="15" hidden="false" customHeight="true" outlineLevel="0" collapsed="false">
      <c r="A43" s="33"/>
      <c r="B43" s="33"/>
      <c r="C43" s="33"/>
      <c r="D43" s="33"/>
      <c r="E43" s="33"/>
    </row>
    <row r="44" customFormat="false" ht="15" hidden="false" customHeight="true" outlineLevel="0" collapsed="false">
      <c r="A44" s="33"/>
      <c r="B44" s="33"/>
      <c r="C44" s="33"/>
      <c r="D44" s="33"/>
      <c r="E44" s="33"/>
    </row>
    <row r="45" customFormat="false" ht="15" hidden="false" customHeight="true" outlineLevel="0" collapsed="false">
      <c r="A45" s="33"/>
      <c r="B45" s="33"/>
      <c r="C45" s="33"/>
      <c r="D45" s="33"/>
      <c r="E45" s="33"/>
    </row>
    <row r="46" customFormat="false" ht="15" hidden="false" customHeight="true" outlineLevel="0" collapsed="false">
      <c r="A46" s="33"/>
      <c r="B46" s="33"/>
      <c r="C46" s="33"/>
      <c r="D46" s="33"/>
      <c r="E46" s="33"/>
    </row>
    <row r="47" customFormat="false" ht="15" hidden="false" customHeight="true" outlineLevel="0" collapsed="false">
      <c r="A47" s="33"/>
      <c r="B47" s="33"/>
      <c r="C47" s="33"/>
      <c r="D47" s="33"/>
      <c r="E47" s="33"/>
    </row>
    <row r="48" customFormat="false" ht="15" hidden="false" customHeight="true" outlineLevel="0" collapsed="false">
      <c r="A48" s="33"/>
      <c r="B48" s="33"/>
      <c r="C48" s="33"/>
      <c r="D48" s="33"/>
      <c r="E48" s="33"/>
    </row>
    <row r="49" customFormat="false" ht="15" hidden="false" customHeight="true" outlineLevel="0" collapsed="false">
      <c r="A49" s="33"/>
      <c r="B49" s="33"/>
      <c r="C49" s="33"/>
      <c r="D49" s="33"/>
      <c r="E49" s="33"/>
    </row>
    <row r="50" customFormat="false" ht="15" hidden="false" customHeight="true" outlineLevel="0" collapsed="false">
      <c r="A50" s="33"/>
      <c r="B50" s="33"/>
      <c r="C50" s="33"/>
      <c r="D50" s="33"/>
      <c r="E50" s="33"/>
    </row>
    <row r="51" customFormat="false" ht="15" hidden="false" customHeight="true" outlineLevel="0" collapsed="false">
      <c r="A51" s="33"/>
      <c r="B51" s="33"/>
      <c r="C51" s="33"/>
      <c r="D51" s="33"/>
      <c r="E51" s="33"/>
    </row>
    <row r="52" customFormat="false" ht="15" hidden="false" customHeight="true" outlineLevel="0" collapsed="false">
      <c r="A52" s="33"/>
      <c r="B52" s="33"/>
      <c r="C52" s="33"/>
      <c r="D52" s="33"/>
      <c r="E52" s="33"/>
    </row>
    <row r="53" customFormat="false" ht="15" hidden="false" customHeight="true" outlineLevel="0" collapsed="false">
      <c r="A53" s="33"/>
      <c r="B53" s="33"/>
      <c r="C53" s="33"/>
      <c r="D53" s="33"/>
      <c r="E53" s="33"/>
    </row>
    <row r="54" customFormat="false" ht="15" hidden="false" customHeight="true" outlineLevel="0" collapsed="false">
      <c r="A54" s="33"/>
      <c r="B54" s="33"/>
      <c r="C54" s="33"/>
      <c r="D54" s="33"/>
      <c r="E54" s="33"/>
    </row>
    <row r="55" customFormat="false" ht="15" hidden="false" customHeight="true" outlineLevel="0" collapsed="false">
      <c r="A55" s="33"/>
      <c r="B55" s="33"/>
      <c r="C55" s="33"/>
      <c r="D55" s="33"/>
      <c r="E55" s="33"/>
    </row>
    <row r="56" customFormat="false" ht="15" hidden="false" customHeight="true" outlineLevel="0" collapsed="false">
      <c r="A56" s="33"/>
      <c r="B56" s="33"/>
      <c r="C56" s="33"/>
      <c r="D56" s="33"/>
      <c r="E56" s="33"/>
    </row>
    <row r="57" customFormat="false" ht="15" hidden="false" customHeight="true" outlineLevel="0" collapsed="false">
      <c r="A57" s="33"/>
      <c r="B57" s="33"/>
      <c r="C57" s="33"/>
      <c r="D57" s="33"/>
      <c r="E57" s="33"/>
    </row>
    <row r="58" customFormat="false" ht="15" hidden="false" customHeight="true" outlineLevel="0" collapsed="false">
      <c r="A58" s="33"/>
      <c r="B58" s="33"/>
      <c r="C58" s="33"/>
      <c r="D58" s="33"/>
      <c r="E58" s="33"/>
    </row>
    <row r="59" customFormat="false" ht="15" hidden="false" customHeight="true" outlineLevel="0" collapsed="false">
      <c r="A59" s="33"/>
      <c r="B59" s="33"/>
      <c r="C59" s="33"/>
      <c r="D59" s="33"/>
      <c r="E59" s="33"/>
    </row>
    <row r="60" customFormat="false" ht="15" hidden="false" customHeight="false" outlineLevel="0" collapsed="false">
      <c r="A60" s="33"/>
      <c r="B60" s="33"/>
      <c r="C60" s="33"/>
      <c r="D60" s="33"/>
      <c r="E60" s="33"/>
    </row>
    <row r="61" customFormat="false" ht="15" hidden="false" customHeight="false" outlineLevel="0" collapsed="false">
      <c r="A61" s="33"/>
      <c r="B61" s="33"/>
      <c r="C61" s="33"/>
      <c r="D61" s="33"/>
      <c r="E61" s="33"/>
    </row>
    <row r="62" customFormat="false" ht="15" hidden="false" customHeight="false" outlineLevel="0" collapsed="false">
      <c r="A62" s="33"/>
      <c r="B62" s="33"/>
      <c r="C62" s="33"/>
      <c r="D62" s="33"/>
      <c r="E62" s="33"/>
    </row>
  </sheetData>
  <mergeCells count="8">
    <mergeCell ref="A15:E15"/>
    <mergeCell ref="A25:E25"/>
    <mergeCell ref="A29:E29"/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2026-02-21T04:38:51Z</dcterms:created>
  <dc:creator>openpyxl</dc:creator>
  <dc:description/>
  <dc:language>en-US</dc:language>
  <cp:lastModifiedBy/>
  <dcterms:modified xsi:type="dcterms:W3CDTF">2026-02-21T04:50:40Z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