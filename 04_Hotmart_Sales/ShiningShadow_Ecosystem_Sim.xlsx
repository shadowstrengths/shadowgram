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① 가정" sheetId="1" state="visible" r:id="rId3"/>
    <sheet name="② SOLO" sheetId="2" state="visible" r:id="rId4"/>
    <sheet name="③ loveTWO" sheetId="3" state="visible" r:id="rId5"/>
    <sheet name="④ TEAM" sheetId="4" state="visible" r:id="rId6"/>
    <sheet name="⑤ 통합 요약" sheetId="5" state="visible" r:id="rId7"/>
    <sheet name="⑥ 시장별 상세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<sst xmlns="http://schemas.openxmlformats.org/spreadsheetml/2006/main" count="346" uniqueCount="254">
  <si>
    <r>
      <rPr>
        <b val="true"/>
        <sz val="14"/>
        <color rgb="FFFFFFFF"/>
        <rFont val="Arial"/>
        <family val="0"/>
        <charset val="1"/>
      </rPr>
      <t xml:space="preserve">ShiningShadow </t>
    </r>
    <r>
      <rPr>
        <b val="true"/>
        <sz val="14"/>
        <color rgb="FFFFFFFF"/>
        <rFont val="Noto Sans CJK KR"/>
        <family val="2"/>
      </rPr>
      <t xml:space="preserve">브랜드 생태계 수익 시뮬레이션 — 핵심 가정</t>
    </r>
  </si>
  <si>
    <r>
      <rPr>
        <i val="true"/>
        <sz val="10"/>
        <color rgb="FF1A2030"/>
        <rFont val="Arial"/>
        <family val="0"/>
        <charset val="1"/>
      </rPr>
      <t xml:space="preserve">Shadowgram(</t>
    </r>
    <r>
      <rPr>
        <i val="true"/>
        <sz val="10"/>
        <color rgb="FF1A2030"/>
        <rFont val="Noto Sans CJK KR"/>
        <family val="2"/>
      </rPr>
      <t xml:space="preserve">검사도구</t>
    </r>
    <r>
      <rPr>
        <i val="true"/>
        <sz val="10"/>
        <color rgb="FF1A2030"/>
        <rFont val="Arial"/>
        <family val="0"/>
        <charset val="1"/>
      </rPr>
      <t xml:space="preserve">) → SOLO(1</t>
    </r>
    <r>
      <rPr>
        <i val="true"/>
        <sz val="10"/>
        <color rgb="FF1A2030"/>
        <rFont val="Noto Sans CJK KR"/>
        <family val="2"/>
      </rPr>
      <t xml:space="preserve">인</t>
    </r>
    <r>
      <rPr>
        <i val="true"/>
        <sz val="10"/>
        <color rgb="FF1A2030"/>
        <rFont val="Arial"/>
        <family val="0"/>
        <charset val="1"/>
      </rPr>
      <t xml:space="preserve">) → loveTWO(2</t>
    </r>
    <r>
      <rPr>
        <i val="true"/>
        <sz val="10"/>
        <color rgb="FF1A2030"/>
        <rFont val="Noto Sans CJK KR"/>
        <family val="2"/>
      </rPr>
      <t xml:space="preserve">인</t>
    </r>
    <r>
      <rPr>
        <i val="true"/>
        <sz val="10"/>
        <color rgb="FF1A2030"/>
        <rFont val="Arial"/>
        <family val="0"/>
        <charset val="1"/>
      </rPr>
      <t xml:space="preserve">) → TEAM(</t>
    </r>
    <r>
      <rPr>
        <i val="true"/>
        <sz val="10"/>
        <color rgb="FF1A2030"/>
        <rFont val="Noto Sans CJK KR"/>
        <family val="2"/>
      </rPr>
      <t xml:space="preserve">조직</t>
    </r>
    <r>
      <rPr>
        <i val="true"/>
        <sz val="10"/>
        <color rgb="FF1A2030"/>
        <rFont val="Arial"/>
        <family val="0"/>
        <charset val="1"/>
      </rPr>
      <t xml:space="preserve">)   |   LATAM </t>
    </r>
    <r>
      <rPr>
        <i val="true"/>
        <sz val="10"/>
        <color rgb="FF1A2030"/>
        <rFont val="Noto Sans CJK KR"/>
        <family val="2"/>
      </rPr>
      <t xml:space="preserve">스페인어</t>
    </r>
    <r>
      <rPr>
        <i val="true"/>
        <sz val="10"/>
        <color rgb="FF1A2030"/>
        <rFont val="Arial"/>
        <family val="0"/>
        <charset val="1"/>
      </rPr>
      <t xml:space="preserve">·</t>
    </r>
    <r>
      <rPr>
        <i val="true"/>
        <sz val="10"/>
        <color rgb="FF1A2030"/>
        <rFont val="Noto Sans CJK KR"/>
        <family val="2"/>
      </rPr>
      <t xml:space="preserve">포르투갈어 → 영어권 확장 시나리오</t>
    </r>
  </si>
  <si>
    <t xml:space="preserve">① 시장 및 퍼널 공통 가정</t>
  </si>
  <si>
    <r>
      <rPr>
        <b val="true"/>
        <sz val="11"/>
        <color rgb="FFFFFFFF"/>
        <rFont val="Arial"/>
        <family val="0"/>
        <charset val="1"/>
      </rPr>
      <t xml:space="preserve">③ SOLO — 1</t>
    </r>
    <r>
      <rPr>
        <b val="true"/>
        <sz val="11"/>
        <color rgb="FFFFFFFF"/>
        <rFont val="Noto Sans CJK KR"/>
        <family val="2"/>
      </rPr>
      <t xml:space="preserve">인 </t>
    </r>
    <r>
      <rPr>
        <b val="true"/>
        <sz val="11"/>
        <color rgb="FFFFFFFF"/>
        <rFont val="Arial"/>
        <family val="0"/>
        <charset val="1"/>
      </rPr>
      <t xml:space="preserve">Self-Help </t>
    </r>
    <r>
      <rPr>
        <b val="true"/>
        <sz val="11"/>
        <color rgb="FFFFFFFF"/>
        <rFont val="Noto Sans CJK KR"/>
        <family val="2"/>
      </rPr>
      <t xml:space="preserve">개성화 여정 가격</t>
    </r>
  </si>
  <si>
    <t xml:space="preserve">항목</t>
  </si>
  <si>
    <t xml:space="preserve">값</t>
  </si>
  <si>
    <t xml:space="preserve">비고</t>
  </si>
  <si>
    <t xml:space="preserve">상품</t>
  </si>
  <si>
    <r>
      <rPr>
        <b val="true"/>
        <sz val="10"/>
        <color rgb="FF1A2030"/>
        <rFont val="Arial"/>
        <family val="0"/>
        <charset val="1"/>
      </rPr>
      <t xml:space="preserve">USD </t>
    </r>
    <r>
      <rPr>
        <b val="true"/>
        <sz val="10"/>
        <color rgb="FF1A2030"/>
        <rFont val="Noto Sans CJK KR"/>
        <family val="2"/>
      </rPr>
      <t xml:space="preserve">가격</t>
    </r>
  </si>
  <si>
    <t xml:space="preserve">파트너 커미션률</t>
  </si>
  <si>
    <t xml:space="preserve">환율 (USD→KRW)</t>
  </si>
  <si>
    <t xml:space="preserve">₩1,400 / $1</t>
  </si>
  <si>
    <t xml:space="preserve">T1 Basic</t>
  </si>
  <si>
    <r>
      <rPr>
        <sz val="10"/>
        <color rgb="FF000000"/>
        <rFont val="Arial"/>
        <family val="0"/>
        <charset val="1"/>
      </rPr>
      <t xml:space="preserve">Hotmart </t>
    </r>
    <r>
      <rPr>
        <sz val="10"/>
        <color rgb="FF000000"/>
        <rFont val="Noto Sans CJK KR"/>
        <family val="2"/>
      </rPr>
      <t xml:space="preserve">플랫폼 수수료</t>
    </r>
  </si>
  <si>
    <r>
      <rPr>
        <sz val="10"/>
        <color rgb="FF000000"/>
        <rFont val="Arial"/>
        <family val="0"/>
        <charset val="1"/>
      </rPr>
      <t xml:space="preserve">9.9% (Hotmart </t>
    </r>
    <r>
      <rPr>
        <sz val="10"/>
        <color rgb="FF000000"/>
        <rFont val="Noto Sans CJK KR"/>
        <family val="2"/>
      </rPr>
      <t xml:space="preserve">표준</t>
    </r>
    <r>
      <rPr>
        <sz val="10"/>
        <color rgb="FF000000"/>
        <rFont val="Arial"/>
        <family val="0"/>
        <charset val="1"/>
      </rPr>
      <t xml:space="preserve">)</t>
    </r>
  </si>
  <si>
    <t xml:space="preserve">T2 Deep (OTO)</t>
  </si>
  <si>
    <r>
      <rPr>
        <sz val="10"/>
        <color rgb="FF000000"/>
        <rFont val="Arial"/>
        <family val="0"/>
        <charset val="1"/>
      </rPr>
      <t xml:space="preserve">Shadowgram OT </t>
    </r>
    <r>
      <rPr>
        <sz val="10"/>
        <color rgb="FF000000"/>
        <rFont val="Noto Sans CJK KR"/>
        <family val="2"/>
      </rPr>
      <t xml:space="preserve">무료진단 전환율</t>
    </r>
  </si>
  <si>
    <t xml:space="preserve">무료진단 → SOLO T1 유료 전환</t>
  </si>
  <si>
    <r>
      <rPr>
        <sz val="10"/>
        <color rgb="FF000000"/>
        <rFont val="Arial"/>
        <family val="0"/>
        <charset val="1"/>
      </rPr>
      <t xml:space="preserve">T3 Master (</t>
    </r>
    <r>
      <rPr>
        <sz val="10"/>
        <color rgb="FF000000"/>
        <rFont val="Noto Sans CJK KR"/>
        <family val="2"/>
      </rPr>
      <t xml:space="preserve">업셀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</si>
  <si>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Hotmart </t>
    </r>
    <r>
      <rPr>
        <sz val="10"/>
        <color rgb="FF000000"/>
        <rFont val="Noto Sans CJK KR"/>
        <family val="2"/>
      </rPr>
      <t xml:space="preserve">파트너 바이럴 계수 </t>
    </r>
    <r>
      <rPr>
        <sz val="10"/>
        <color rgb="FF000000"/>
        <rFont val="Arial"/>
        <family val="0"/>
        <charset val="1"/>
      </rPr>
      <t xml:space="preserve">K</t>
    </r>
  </si>
  <si>
    <t xml:space="preserve">파트너 1명이 월 0.15명 신규 유입</t>
  </si>
  <si>
    <t xml:space="preserve">부록 A StormBreaker</t>
  </si>
  <si>
    <t xml:space="preserve">파트너 연간 이탈률</t>
  </si>
  <si>
    <t xml:space="preserve">연 20% 비활성화</t>
  </si>
  <si>
    <t xml:space="preserve">부록 B ClimateChanger</t>
  </si>
  <si>
    <t xml:space="preserve">파트너 활성화율</t>
  </si>
  <si>
    <t xml:space="preserve">전체 파트너 중 실제 판매 활동</t>
  </si>
  <si>
    <t xml:space="preserve">부록 C HarvestMoon</t>
  </si>
  <si>
    <t xml:space="preserve">연간 가격 인상률</t>
  </si>
  <si>
    <t xml:space="preserve">매년 5% 인상</t>
  </si>
  <si>
    <t xml:space="preserve">연간 전환율 개선률</t>
  </si>
  <si>
    <t xml:space="preserve">퍼널 최적화로 매년 3% 개선</t>
  </si>
  <si>
    <r>
      <rPr>
        <b val="true"/>
        <sz val="11"/>
        <color rgb="FFFFFFFF"/>
        <rFont val="Arial"/>
        <family val="0"/>
        <charset val="1"/>
      </rPr>
      <t xml:space="preserve">③-b SOLO </t>
    </r>
    <r>
      <rPr>
        <b val="true"/>
        <sz val="11"/>
        <color rgb="FFFFFFFF"/>
        <rFont val="Noto Sans CJK KR"/>
        <family val="2"/>
      </rPr>
      <t xml:space="preserve">퍼널 전환율</t>
    </r>
  </si>
  <si>
    <t xml:space="preserve">전환 단계</t>
  </si>
  <si>
    <t xml:space="preserve">전환율</t>
  </si>
  <si>
    <t xml:space="preserve">② 시장 단계별 파트너 목표 수 (연초 기준)</t>
  </si>
  <si>
    <r>
      <rPr>
        <sz val="10"/>
        <color rgb="FF000000"/>
        <rFont val="Arial"/>
        <family val="0"/>
        <charset val="1"/>
      </rPr>
      <t xml:space="preserve">T1→T2 OTO </t>
    </r>
    <r>
      <rPr>
        <sz val="10"/>
        <color rgb="FF000000"/>
        <rFont val="Noto Sans CJK KR"/>
        <family val="2"/>
      </rPr>
      <t xml:space="preserve">전환율</t>
    </r>
  </si>
  <si>
    <t xml:space="preserve">즉시 팝업 자동 전환</t>
  </si>
  <si>
    <t xml:space="preserve">시장 단계</t>
  </si>
  <si>
    <t xml:space="preserve">런칭 파트너</t>
  </si>
  <si>
    <t xml:space="preserve">성숙 파트너 (3년차)</t>
  </si>
  <si>
    <r>
      <rPr>
        <sz val="10"/>
        <color rgb="FF000000"/>
        <rFont val="Arial"/>
        <family val="0"/>
        <charset val="1"/>
      </rPr>
      <t xml:space="preserve">T1→T3 </t>
    </r>
    <r>
      <rPr>
        <sz val="10"/>
        <color rgb="FF000000"/>
        <rFont val="Noto Sans CJK KR"/>
        <family val="2"/>
      </rPr>
      <t xml:space="preserve">이메일 업셀 전환율</t>
    </r>
  </si>
  <si>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KR"/>
        <family val="2"/>
      </rPr>
      <t xml:space="preserve">일 이메일 시퀀스</t>
    </r>
  </si>
  <si>
    <r>
      <rPr>
        <sz val="10"/>
        <color rgb="FF000000"/>
        <rFont val="Arial"/>
        <family val="0"/>
        <charset val="1"/>
      </rPr>
      <t xml:space="preserve">Phase 1: LATAM </t>
    </r>
    <r>
      <rPr>
        <sz val="10"/>
        <color rgb="FF000000"/>
        <rFont val="Noto Sans CJK KR"/>
        <family val="2"/>
      </rPr>
      <t xml:space="preserve">스페인어권 </t>
    </r>
    <r>
      <rPr>
        <sz val="10"/>
        <color rgb="FF000000"/>
        <rFont val="Arial"/>
        <family val="0"/>
        <charset val="1"/>
      </rPr>
      <t xml:space="preserve">(2026)</t>
    </r>
  </si>
  <si>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KR"/>
        <family val="2"/>
      </rPr>
      <t xml:space="preserve">구매자 → </t>
    </r>
    <r>
      <rPr>
        <sz val="10"/>
        <color rgb="FF000000"/>
        <rFont val="Arial"/>
        <family val="0"/>
        <charset val="1"/>
      </rPr>
      <t xml:space="preserve">AppA/B/C </t>
    </r>
    <r>
      <rPr>
        <sz val="10"/>
        <color rgb="FF000000"/>
        <rFont val="Noto Sans CJK KR"/>
        <family val="2"/>
      </rPr>
      <t xml:space="preserve">구매율</t>
    </r>
  </si>
  <si>
    <t xml:space="preserve">번들 또는 이메일</t>
  </si>
  <si>
    <r>
      <rPr>
        <sz val="10"/>
        <color rgb="FF000000"/>
        <rFont val="Arial"/>
        <family val="0"/>
        <charset val="1"/>
      </rPr>
      <t xml:space="preserve">Phase 2: </t>
    </r>
    <r>
      <rPr>
        <sz val="10"/>
        <color rgb="FF000000"/>
        <rFont val="Noto Sans CJK KR"/>
        <family val="2"/>
      </rPr>
      <t xml:space="preserve">포르투갈어권 </t>
    </r>
    <r>
      <rPr>
        <sz val="10"/>
        <color rgb="FF000000"/>
        <rFont val="Arial"/>
        <family val="0"/>
        <charset val="1"/>
      </rPr>
      <t xml:space="preserve">BR+PT (2027)</t>
    </r>
  </si>
  <si>
    <r>
      <rPr>
        <sz val="10"/>
        <color rgb="FF000000"/>
        <rFont val="Arial"/>
        <family val="0"/>
        <charset val="1"/>
      </rPr>
      <t xml:space="preserve">Phase 3: </t>
    </r>
    <r>
      <rPr>
        <sz val="10"/>
        <color rgb="FF000000"/>
        <rFont val="Noto Sans CJK KR"/>
        <family val="2"/>
      </rPr>
      <t xml:space="preserve">영어권 </t>
    </r>
    <r>
      <rPr>
        <sz val="10"/>
        <color rgb="FF000000"/>
        <rFont val="Arial"/>
        <family val="0"/>
        <charset val="1"/>
      </rPr>
      <t xml:space="preserve">US+AU+UK (2028)</t>
    </r>
  </si>
  <si>
    <r>
      <rPr>
        <b val="true"/>
        <sz val="11"/>
        <color rgb="FFFFFFFF"/>
        <rFont val="Arial"/>
        <family val="0"/>
        <charset val="1"/>
      </rPr>
      <t xml:space="preserve">④ loveTWO — 2</t>
    </r>
    <r>
      <rPr>
        <b val="true"/>
        <sz val="11"/>
        <color rgb="FFFFFFFF"/>
        <rFont val="Noto Sans CJK KR"/>
        <family val="2"/>
      </rPr>
      <t xml:space="preserve">인 커플 바이럴 가격</t>
    </r>
  </si>
  <si>
    <r>
      <rPr>
        <sz val="10"/>
        <color rgb="FF000000"/>
        <rFont val="Arial"/>
        <family val="0"/>
        <charset val="1"/>
      </rPr>
      <t xml:space="preserve">loveTWO </t>
    </r>
    <r>
      <rPr>
        <sz val="10"/>
        <color rgb="FF000000"/>
        <rFont val="Noto Sans CJK KR"/>
        <family val="2"/>
      </rPr>
      <t xml:space="preserve">커플 리포트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KR"/>
        <family val="2"/>
      </rPr>
      <t xml:space="preserve">기본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</si>
  <si>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loveTWO </t>
    </r>
    <r>
      <rPr>
        <sz val="10"/>
        <color rgb="FF000000"/>
        <rFont val="Noto Sans CJK KR"/>
        <family val="2"/>
      </rPr>
      <t xml:space="preserve">커플 심화 번들</t>
    </r>
  </si>
  <si>
    <r>
      <rPr>
        <sz val="10"/>
        <color rgb="FF000000"/>
        <rFont val="Arial"/>
        <family val="0"/>
        <charset val="1"/>
      </rPr>
      <t xml:space="preserve">SOLO→loveTWO </t>
    </r>
    <r>
      <rPr>
        <sz val="10"/>
        <color rgb="FF000000"/>
        <rFont val="Noto Sans CJK KR"/>
        <family val="2"/>
      </rPr>
      <t xml:space="preserve">크로스셀 전환율</t>
    </r>
  </si>
  <si>
    <r>
      <rPr>
        <sz val="10"/>
        <color rgb="FF000000"/>
        <rFont val="Arial"/>
        <family val="0"/>
        <charset val="1"/>
      </rPr>
      <t xml:space="preserve">SOLO </t>
    </r>
    <r>
      <rPr>
        <sz val="10"/>
        <color rgb="FF000000"/>
        <rFont val="Noto Sans CJK KR"/>
        <family val="2"/>
      </rPr>
      <t xml:space="preserve">구매자 → </t>
    </r>
    <r>
      <rPr>
        <sz val="10"/>
        <color rgb="FF000000"/>
        <rFont val="Arial"/>
        <family val="0"/>
        <charset val="1"/>
      </rPr>
      <t xml:space="preserve">loveTWO </t>
    </r>
    <r>
      <rPr>
        <sz val="10"/>
        <color rgb="FF000000"/>
        <rFont val="Noto Sans CJK KR"/>
        <family val="2"/>
      </rPr>
      <t xml:space="preserve">전환</t>
    </r>
  </si>
  <si>
    <r>
      <rPr>
        <b val="true"/>
        <sz val="11"/>
        <color rgb="FFFFFFFF"/>
        <rFont val="Arial"/>
        <family val="0"/>
        <charset val="1"/>
      </rPr>
      <t xml:space="preserve">⑤ TEAM — </t>
    </r>
    <r>
      <rPr>
        <b val="true"/>
        <sz val="11"/>
        <color rgb="FFFFFFFF"/>
        <rFont val="Noto Sans CJK KR"/>
        <family val="2"/>
      </rPr>
      <t xml:space="preserve">조직 심리 다이나믹스 </t>
    </r>
    <r>
      <rPr>
        <b val="true"/>
        <sz val="11"/>
        <color rgb="FFFFFFFF"/>
        <rFont val="Arial"/>
        <family val="0"/>
        <charset val="1"/>
      </rPr>
      <t xml:space="preserve">(B2B)</t>
    </r>
  </si>
  <si>
    <r>
      <rPr>
        <b val="true"/>
        <sz val="10"/>
        <color rgb="FF1A2030"/>
        <rFont val="Arial"/>
        <family val="0"/>
        <charset val="1"/>
      </rPr>
      <t xml:space="preserve">USD </t>
    </r>
    <r>
      <rPr>
        <b val="true"/>
        <sz val="10"/>
        <color rgb="FF1A2030"/>
        <rFont val="Noto Sans CJK KR"/>
        <family val="2"/>
      </rPr>
      <t xml:space="preserve">단가</t>
    </r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</si>
  <si>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KR"/>
        <family val="2"/>
      </rPr>
      <t xml:space="preserve">기본 진단 </t>
    </r>
    <r>
      <rPr>
        <sz val="10"/>
        <color rgb="FF000000"/>
        <rFont val="Arial"/>
        <family val="0"/>
        <charset val="1"/>
      </rPr>
      <t xml:space="preserve">(1</t>
    </r>
    <r>
      <rPr>
        <sz val="10"/>
        <color rgb="FF000000"/>
        <rFont val="Noto Sans CJK KR"/>
        <family val="2"/>
      </rPr>
      <t xml:space="preserve">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KR"/>
        <family val="2"/>
      </rPr>
      <t xml:space="preserve">최대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KR"/>
        <family val="2"/>
      </rPr>
      <t xml:space="preserve">명</t>
    </r>
    <r>
      <rPr>
        <sz val="10"/>
        <color rgb="FF000000"/>
        <rFont val="Arial"/>
        <family val="0"/>
        <charset val="1"/>
      </rPr>
      <t xml:space="preserve">)</t>
    </r>
  </si>
  <si>
    <t xml:space="preserve">팀 단위 판매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</si>
  <si>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KR"/>
        <family val="2"/>
      </rPr>
      <t xml:space="preserve">워크숍 패키지</t>
    </r>
  </si>
  <si>
    <t xml:space="preserve">팀장+HR 대상</t>
  </si>
  <si>
    <r>
      <rPr>
        <sz val="10"/>
        <color rgb="FF000000"/>
        <rFont val="Arial"/>
        <family val="0"/>
        <charset val="1"/>
      </rPr>
      <t xml:space="preserve">SOLO→TEAM </t>
    </r>
    <r>
      <rPr>
        <sz val="10"/>
        <color rgb="FF000000"/>
        <rFont val="Noto Sans CJK KR"/>
        <family val="2"/>
      </rPr>
      <t xml:space="preserve">추천 전환율</t>
    </r>
  </si>
  <si>
    <r>
      <rPr>
        <sz val="10"/>
        <color rgb="FF000000"/>
        <rFont val="Arial"/>
        <family val="0"/>
        <charset val="1"/>
      </rPr>
      <t xml:space="preserve">SOLO </t>
    </r>
    <r>
      <rPr>
        <sz val="10"/>
        <color rgb="FF000000"/>
        <rFont val="Noto Sans CJK KR"/>
        <family val="2"/>
      </rPr>
      <t xml:space="preserve">구매자가 팀에 소개</t>
    </r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</si>
  <si>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KR"/>
        <family val="2"/>
      </rPr>
      <t xml:space="preserve">평균 팀 규모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KR"/>
        <family val="2"/>
      </rPr>
      <t xml:space="preserve">명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</si>
  <si>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KR"/>
        <family val="2"/>
      </rPr>
      <t xml:space="preserve">계약 </t>
    </r>
    <r>
      <rPr>
        <sz val="10"/>
        <color rgb="FF000000"/>
        <rFont val="Arial"/>
        <family val="0"/>
        <charset val="1"/>
      </rPr>
      <t xml:space="preserve">= 8</t>
    </r>
    <r>
      <rPr>
        <sz val="10"/>
        <color rgb="FF000000"/>
        <rFont val="Noto Sans CJK KR"/>
        <family val="2"/>
      </rPr>
      <t xml:space="preserve">인분 가치</t>
    </r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</si>
  <si>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KR"/>
        <family val="2"/>
      </rPr>
      <t xml:space="preserve">파트너 커미션률</t>
    </r>
  </si>
  <si>
    <r>
      <rPr>
        <sz val="10"/>
        <color rgb="FF000000"/>
        <rFont val="Arial"/>
        <family val="0"/>
        <charset val="1"/>
      </rPr>
      <t xml:space="preserve">B2B </t>
    </r>
    <r>
      <rPr>
        <sz val="10"/>
        <color rgb="FF000000"/>
        <rFont val="Noto Sans CJK KR"/>
        <family val="2"/>
      </rPr>
      <t xml:space="preserve">복잡 영업 반영</t>
    </r>
  </si>
  <si>
    <r>
      <rPr>
        <b val="true"/>
        <sz val="11"/>
        <color rgb="FFFFFFFF"/>
        <rFont val="Arial"/>
        <family val="0"/>
        <charset val="1"/>
      </rPr>
      <t xml:space="preserve">⑥ leftnoon — </t>
    </r>
    <r>
      <rPr>
        <b val="true"/>
        <sz val="11"/>
        <color rgb="FFFFFFFF"/>
        <rFont val="Noto Sans CJK KR"/>
        <family val="2"/>
      </rPr>
      <t xml:space="preserve">커뮤니티 구독 </t>
    </r>
    <r>
      <rPr>
        <b val="true"/>
        <sz val="11"/>
        <color rgb="FFFFFFFF"/>
        <rFont val="Arial"/>
        <family val="0"/>
        <charset val="1"/>
      </rPr>
      <t xml:space="preserve">(Phase 3+)</t>
    </r>
  </si>
  <si>
    <t xml:space="preserve">월 구독료 (USD)</t>
  </si>
  <si>
    <r>
      <rPr>
        <sz val="10"/>
        <color rgb="FF000000"/>
        <rFont val="Arial"/>
        <family val="0"/>
        <charset val="1"/>
      </rPr>
      <t xml:space="preserve">SOLO T3 </t>
    </r>
    <r>
      <rPr>
        <sz val="10"/>
        <color rgb="FF000000"/>
        <rFont val="Noto Sans CJK KR"/>
        <family val="2"/>
      </rPr>
      <t xml:space="preserve">완료자 대상</t>
    </r>
  </si>
  <si>
    <r>
      <rPr>
        <sz val="10"/>
        <color rgb="FF000000"/>
        <rFont val="Arial"/>
        <family val="0"/>
        <charset val="1"/>
      </rPr>
      <t xml:space="preserve">SOLO T3→leftnoon </t>
    </r>
    <r>
      <rPr>
        <sz val="10"/>
        <color rgb="FF000000"/>
        <rFont val="Noto Sans CJK KR"/>
        <family val="2"/>
      </rPr>
      <t xml:space="preserve">전환율</t>
    </r>
  </si>
  <si>
    <r>
      <rPr>
        <sz val="10"/>
        <color rgb="FF000000"/>
        <rFont val="Arial"/>
        <family val="0"/>
        <charset val="1"/>
      </rPr>
      <t xml:space="preserve">12% </t>
    </r>
    <r>
      <rPr>
        <sz val="10"/>
        <color rgb="FF000000"/>
        <rFont val="Noto Sans CJK KR"/>
        <family val="2"/>
      </rPr>
      <t xml:space="preserve">전환 목표</t>
    </r>
  </si>
  <si>
    <r>
      <rPr>
        <b val="true"/>
        <sz val="13"/>
        <color rgb="FFFFFFFF"/>
        <rFont val="Arial"/>
        <family val="0"/>
        <charset val="1"/>
      </rPr>
      <t xml:space="preserve">② SOLO — 1</t>
    </r>
    <r>
      <rPr>
        <b val="true"/>
        <sz val="13"/>
        <color rgb="FFFFFFFF"/>
        <rFont val="Noto Sans CJK KR"/>
        <family val="2"/>
      </rPr>
      <t xml:space="preserve">인 </t>
    </r>
    <r>
      <rPr>
        <b val="true"/>
        <sz val="13"/>
        <color rgb="FFFFFFFF"/>
        <rFont val="Arial"/>
        <family val="0"/>
        <charset val="1"/>
      </rPr>
      <t xml:space="preserve">Self-Help </t>
    </r>
    <r>
      <rPr>
        <b val="true"/>
        <sz val="13"/>
        <color rgb="FFFFFFFF"/>
        <rFont val="Noto Sans CJK KR"/>
        <family val="2"/>
      </rPr>
      <t xml:space="preserve">개성화 여정  </t>
    </r>
    <r>
      <rPr>
        <b val="true"/>
        <sz val="13"/>
        <color rgb="FFFFFFFF"/>
        <rFont val="Arial"/>
        <family val="0"/>
        <charset val="1"/>
      </rPr>
      <t xml:space="preserve">|  </t>
    </r>
    <r>
      <rPr>
        <b val="true"/>
        <sz val="13"/>
        <color rgb="FFFFFFFF"/>
        <rFont val="Noto Sans CJK KR"/>
        <family val="2"/>
      </rPr>
      <t xml:space="preserve">수익 시뮬레이션 </t>
    </r>
    <r>
      <rPr>
        <b val="true"/>
        <sz val="13"/>
        <color rgb="FFFFFFFF"/>
        <rFont val="Arial"/>
        <family val="0"/>
        <charset val="1"/>
      </rPr>
      <t xml:space="preserve">(5</t>
    </r>
    <r>
      <rPr>
        <b val="true"/>
        <sz val="13"/>
        <color rgb="FFFFFFFF"/>
        <rFont val="Noto Sans CJK KR"/>
        <family val="2"/>
      </rPr>
      <t xml:space="preserve">년</t>
    </r>
    <r>
      <rPr>
        <b val="true"/>
        <sz val="13"/>
        <color rgb="FFFFFFFF"/>
        <rFont val="Arial"/>
        <family val="0"/>
        <charset val="1"/>
      </rPr>
      <t xml:space="preserve">)</t>
    </r>
  </si>
  <si>
    <r>
      <rPr>
        <i val="true"/>
        <sz val="10"/>
        <color rgb="FF2E4A7C"/>
        <rFont val="Arial"/>
        <family val="0"/>
        <charset val="1"/>
      </rPr>
      <t xml:space="preserve">Shadowgram </t>
    </r>
    <r>
      <rPr>
        <i val="true"/>
        <sz val="10"/>
        <color rgb="FF2E4A7C"/>
        <rFont val="Noto Sans CJK KR"/>
        <family val="2"/>
      </rPr>
      <t xml:space="preserve">검사도구</t>
    </r>
    <r>
      <rPr>
        <i val="true"/>
        <sz val="10"/>
        <color rgb="FF2E4A7C"/>
        <rFont val="Arial"/>
        <family val="0"/>
        <charset val="1"/>
      </rPr>
      <t xml:space="preserve">(</t>
    </r>
    <r>
      <rPr>
        <i val="true"/>
        <sz val="10"/>
        <color rgb="FF2E4A7C"/>
        <rFont val="Noto Sans CJK KR"/>
        <family val="2"/>
      </rPr>
      <t xml:space="preserve">무료</t>
    </r>
    <r>
      <rPr>
        <i val="true"/>
        <sz val="10"/>
        <color rgb="FF2E4A7C"/>
        <rFont val="Arial"/>
        <family val="0"/>
        <charset val="1"/>
      </rPr>
      <t xml:space="preserve">OT) → T1 → T2(OTO) → T3(</t>
    </r>
    <r>
      <rPr>
        <i val="true"/>
        <sz val="10"/>
        <color rgb="FF2E4A7C"/>
        <rFont val="Noto Sans CJK KR"/>
        <family val="2"/>
      </rPr>
      <t xml:space="preserve">업셀</t>
    </r>
    <r>
      <rPr>
        <i val="true"/>
        <sz val="10"/>
        <color rgb="FF2E4A7C"/>
        <rFont val="Arial"/>
        <family val="0"/>
        <charset val="1"/>
      </rPr>
      <t xml:space="preserve">) → </t>
    </r>
    <r>
      <rPr>
        <i val="true"/>
        <sz val="10"/>
        <color rgb="FF2E4A7C"/>
        <rFont val="Noto Sans CJK KR"/>
        <family val="2"/>
      </rPr>
      <t xml:space="preserve">부록 </t>
    </r>
    <r>
      <rPr>
        <i val="true"/>
        <sz val="10"/>
        <color rgb="FF2E4A7C"/>
        <rFont val="Arial"/>
        <family val="0"/>
        <charset val="1"/>
      </rPr>
      <t xml:space="preserve">A/B/C  |  </t>
    </r>
    <r>
      <rPr>
        <i val="true"/>
        <sz val="10"/>
        <color rgb="FF2E4A7C"/>
        <rFont val="Noto Sans CJK KR"/>
        <family val="2"/>
      </rPr>
      <t xml:space="preserve">파트너 </t>
    </r>
    <r>
      <rPr>
        <i val="true"/>
        <sz val="10"/>
        <color rgb="FF2E4A7C"/>
        <rFont val="Arial"/>
        <family val="0"/>
        <charset val="1"/>
      </rPr>
      <t xml:space="preserve">Hotmart </t>
    </r>
    <r>
      <rPr>
        <i val="true"/>
        <sz val="10"/>
        <color rgb="FF2E4A7C"/>
        <rFont val="Noto Sans CJK KR"/>
        <family val="2"/>
      </rPr>
      <t xml:space="preserve">네트워크</t>
    </r>
  </si>
  <si>
    <t xml:space="preserve">구분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</si>
  <si>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</si>
  <si>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</si>
  <si>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</si>
  <si>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</si>
  <si>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</si>
  <si>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r>
      <rPr>
        <b val="true"/>
        <sz val="10"/>
        <color rgb="FFFFFFFF"/>
        <rFont val="Arial"/>
        <family val="0"/>
        <charset val="1"/>
      </rPr>
      <t xml:space="preserve">5</t>
    </r>
    <r>
      <rPr>
        <b val="true"/>
        <sz val="10"/>
        <color rgb="FFFFFFFF"/>
        <rFont val="Noto Sans CJK KR"/>
        <family val="2"/>
      </rPr>
      <t xml:space="preserve">년 합계</t>
    </r>
  </si>
  <si>
    <t xml:space="preserve">단위</t>
  </si>
  <si>
    <r>
      <rPr>
        <b val="true"/>
        <sz val="11"/>
        <color rgb="FFFFFFFF"/>
        <rFont val="Arial"/>
        <family val="0"/>
        <charset val="1"/>
      </rPr>
      <t xml:space="preserve">A. </t>
    </r>
    <r>
      <rPr>
        <b val="true"/>
        <sz val="11"/>
        <color rgb="FFFFFFFF"/>
        <rFont val="Noto Sans CJK KR"/>
        <family val="2"/>
      </rPr>
      <t xml:space="preserve">파트너 수 </t>
    </r>
    <r>
      <rPr>
        <b val="true"/>
        <sz val="11"/>
        <color rgb="FFFFFFFF"/>
        <rFont val="Arial"/>
        <family val="0"/>
        <charset val="1"/>
      </rPr>
      <t xml:space="preserve">&amp; </t>
    </r>
    <r>
      <rPr>
        <b val="true"/>
        <sz val="11"/>
        <color rgb="FFFFFFFF"/>
        <rFont val="Noto Sans CJK KR"/>
        <family val="2"/>
      </rPr>
      <t xml:space="preserve">활성 파트너</t>
    </r>
  </si>
  <si>
    <t xml:space="preserve">연초 총 파트너 수</t>
  </si>
  <si>
    <t xml:space="preserve">명</t>
  </si>
  <si>
    <r>
      <rPr>
        <sz val="10"/>
        <color rgb="FF000000"/>
        <rFont val="Arial"/>
        <family val="0"/>
        <charset val="1"/>
      </rPr>
      <t xml:space="preserve">K-factor + </t>
    </r>
    <r>
      <rPr>
        <sz val="10"/>
        <color rgb="FF000000"/>
        <rFont val="Noto Sans CJK KR"/>
        <family val="2"/>
      </rPr>
      <t xml:space="preserve">신규 시장 가산</t>
    </r>
  </si>
  <si>
    <t xml:space="preserve">  활성 파트너 수</t>
  </si>
  <si>
    <t xml:space="preserve">활성화율 11행 참조</t>
  </si>
  <si>
    <t xml:space="preserve">  파레토 상위 20% 파트너</t>
  </si>
  <si>
    <t xml:space="preserve">상위 20% = 수익 80% 창출</t>
  </si>
  <si>
    <r>
      <rPr>
        <b val="true"/>
        <sz val="11"/>
        <color rgb="FFFFFFFF"/>
        <rFont val="Arial"/>
        <family val="0"/>
        <charset val="1"/>
      </rPr>
      <t xml:space="preserve">B. SOLO T1 </t>
    </r>
    <r>
      <rPr>
        <b val="true"/>
        <sz val="11"/>
        <color rgb="FFFFFFFF"/>
        <rFont val="Noto Sans CJK KR"/>
        <family val="2"/>
      </rPr>
      <t xml:space="preserve">월 판매량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KR"/>
        <family val="2"/>
      </rPr>
      <t xml:space="preserve">파트너 </t>
    </r>
    <r>
      <rPr>
        <b val="true"/>
        <sz val="11"/>
        <color rgb="FFFFFFFF"/>
        <rFont val="Arial"/>
        <family val="0"/>
        <charset val="1"/>
      </rPr>
      <t xml:space="preserve">× </t>
    </r>
    <r>
      <rPr>
        <b val="true"/>
        <sz val="11"/>
        <color rgb="FFFFFFFF"/>
        <rFont val="Noto Sans CJK KR"/>
        <family val="2"/>
      </rPr>
      <t xml:space="preserve">인당 판매량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</si>
  <si>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상위 20% 파트너 인당 월 T1 판매 (개)</t>
  </si>
  <si>
    <t xml:space="preserve">개</t>
  </si>
  <si>
    <t xml:space="preserve">파레토 상위 파트너 기준</t>
  </si>
  <si>
    <t xml:space="preserve">중위 60% 파트너 인당 월 T1 판매 (개)</t>
  </si>
  <si>
    <t xml:space="preserve">중위 파트너 기준</t>
  </si>
  <si>
    <t xml:space="preserve">하위 20% 파트너 인당 월 T1 판매 (개)</t>
  </si>
  <si>
    <t xml:space="preserve">하위 파트너 기준</t>
  </si>
  <si>
    <t xml:space="preserve">월 총 T1 판매 (활성파트너 기준)</t>
  </si>
  <si>
    <t xml:space="preserve">개/월</t>
  </si>
  <si>
    <t xml:space="preserve">상위20%+중위60%+하위20% 합산</t>
  </si>
  <si>
    <t xml:space="preserve">연간 T1 판매량</t>
  </si>
  <si>
    <t xml:space="preserve">개/년</t>
  </si>
  <si>
    <r>
      <rPr>
        <b val="true"/>
        <sz val="11"/>
        <color rgb="FFFFFFFF"/>
        <rFont val="Arial"/>
        <family val="0"/>
        <charset val="1"/>
      </rPr>
      <t xml:space="preserve">C. SOLO </t>
    </r>
    <r>
      <rPr>
        <b val="true"/>
        <sz val="11"/>
        <color rgb="FFFFFFFF"/>
        <rFont val="Noto Sans CJK KR"/>
        <family val="2"/>
      </rPr>
      <t xml:space="preserve">오너 수익 계산 </t>
    </r>
    <r>
      <rPr>
        <b val="true"/>
        <sz val="11"/>
        <color rgb="FFFFFFFF"/>
        <rFont val="Arial"/>
        <family val="0"/>
        <charset val="1"/>
      </rPr>
      <t xml:space="preserve">(USD → KRW)</t>
    </r>
  </si>
  <si>
    <r>
      <rPr>
        <sz val="10"/>
        <color rgb="FF000000"/>
        <rFont val="Arial"/>
        <family val="0"/>
        <charset val="1"/>
      </rPr>
      <t xml:space="preserve">  T2 OTO </t>
    </r>
    <r>
      <rPr>
        <sz val="10"/>
        <color rgb="FF000000"/>
        <rFont val="Noto Sans CJK KR"/>
        <family val="2"/>
      </rPr>
      <t xml:space="preserve">판매량 </t>
    </r>
    <r>
      <rPr>
        <sz val="10"/>
        <color rgb="FF000000"/>
        <rFont val="Arial"/>
        <family val="0"/>
        <charset val="1"/>
      </rPr>
      <t xml:space="preserve">(T1×OTO</t>
    </r>
    <r>
      <rPr>
        <sz val="10"/>
        <color rgb="FF000000"/>
        <rFont val="Noto Sans CJK KR"/>
        <family val="2"/>
      </rPr>
      <t xml:space="preserve">전환율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</si>
  <si>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  T3 </t>
    </r>
    <r>
      <rPr>
        <sz val="10"/>
        <color rgb="FF000000"/>
        <rFont val="Noto Sans CJK KR"/>
        <family val="2"/>
      </rPr>
      <t xml:space="preserve">업셀 판매량 </t>
    </r>
    <r>
      <rPr>
        <sz val="10"/>
        <color rgb="FF000000"/>
        <rFont val="Arial"/>
        <family val="0"/>
        <charset val="1"/>
      </rPr>
      <t xml:space="preserve">(T1×T3</t>
    </r>
    <r>
      <rPr>
        <sz val="10"/>
        <color rgb="FF000000"/>
        <rFont val="Noto Sans CJK KR"/>
        <family val="2"/>
      </rPr>
      <t xml:space="preserve">전환율</t>
    </r>
    <r>
      <rPr>
        <sz val="10"/>
        <color rgb="FF000000"/>
        <rFont val="Arial"/>
        <family val="0"/>
        <charset val="1"/>
      </rPr>
      <t xml:space="preserve">)</t>
    </r>
  </si>
  <si>
    <t xml:space="preserve">  부록(A/B/C) 판매량 (T1×부록전환율)</t>
  </si>
  <si>
    <t xml:space="preserve">오너 순수익 — T1 (₩)</t>
  </si>
  <si>
    <r>
      <rPr>
        <sz val="10"/>
        <color rgb="FF000000"/>
        <rFont val="Arial"/>
        <family val="0"/>
        <charset val="1"/>
      </rPr>
      <t xml:space="preserve">₩/</t>
    </r>
    <r>
      <rPr>
        <sz val="10"/>
        <color rgb="FF000000"/>
        <rFont val="Noto Sans CJK KR"/>
        <family val="2"/>
      </rPr>
      <t xml:space="preserve">년</t>
    </r>
  </si>
  <si>
    <t xml:space="preserve">오너 순수익 — T2 OTO (₩)</t>
  </si>
  <si>
    <t xml:space="preserve">오너 순수익 — T3 Master (₩)</t>
  </si>
  <si>
    <t xml:space="preserve">오너 순수익 — 부록 A/B/C (₩)</t>
  </si>
  <si>
    <r>
      <rPr>
        <b val="true"/>
        <sz val="10"/>
        <color rgb="FFFFFFFF"/>
        <rFont val="Arial"/>
        <family val="0"/>
        <charset val="1"/>
      </rPr>
      <t xml:space="preserve">★ SOLO </t>
    </r>
    <r>
      <rPr>
        <b val="true"/>
        <sz val="10"/>
        <color rgb="FFFFFFFF"/>
        <rFont val="Noto Sans CJK KR"/>
        <family val="2"/>
      </rPr>
      <t xml:space="preserve">연간 오너 순수익 합계 </t>
    </r>
    <r>
      <rPr>
        <b val="true"/>
        <sz val="10"/>
        <color rgb="FFFFFFFF"/>
        <rFont val="Arial"/>
        <family val="0"/>
        <charset val="1"/>
      </rPr>
      <t xml:space="preserve">(₩)</t>
    </r>
  </si>
  <si>
    <r>
      <rPr>
        <b val="true"/>
        <sz val="13"/>
        <color rgb="FFFFFFFF"/>
        <rFont val="Arial"/>
        <family val="0"/>
        <charset val="1"/>
      </rPr>
      <t xml:space="preserve">③ loveTWO — 2</t>
    </r>
    <r>
      <rPr>
        <b val="true"/>
        <sz val="13"/>
        <color rgb="FFFFFFFF"/>
        <rFont val="Noto Sans CJK KR"/>
        <family val="2"/>
      </rPr>
      <t xml:space="preserve">인 바이럴 커플 도구  </t>
    </r>
    <r>
      <rPr>
        <b val="true"/>
        <sz val="13"/>
        <color rgb="FFFFFFFF"/>
        <rFont val="Arial"/>
        <family val="0"/>
        <charset val="1"/>
      </rPr>
      <t xml:space="preserve">|  </t>
    </r>
    <r>
      <rPr>
        <b val="true"/>
        <sz val="13"/>
        <color rgb="FFFFFFFF"/>
        <rFont val="Noto Sans CJK KR"/>
        <family val="2"/>
      </rPr>
      <t xml:space="preserve">수익 시뮬레이션 </t>
    </r>
    <r>
      <rPr>
        <b val="true"/>
        <sz val="13"/>
        <color rgb="FFFFFFFF"/>
        <rFont val="Arial"/>
        <family val="0"/>
        <charset val="1"/>
      </rPr>
      <t xml:space="preserve">(5</t>
    </r>
    <r>
      <rPr>
        <b val="true"/>
        <sz val="13"/>
        <color rgb="FFFFFFFF"/>
        <rFont val="Noto Sans CJK KR"/>
        <family val="2"/>
      </rPr>
      <t xml:space="preserve">년</t>
    </r>
    <r>
      <rPr>
        <b val="true"/>
        <sz val="13"/>
        <color rgb="FFFFFFFF"/>
        <rFont val="Arial"/>
        <family val="0"/>
        <charset val="1"/>
      </rPr>
      <t xml:space="preserve">)</t>
    </r>
  </si>
  <si>
    <r>
      <rPr>
        <i val="true"/>
        <sz val="10"/>
        <color rgb="FF7B3F00"/>
        <rFont val="Arial"/>
        <family val="0"/>
        <charset val="1"/>
      </rPr>
      <t xml:space="preserve">SOLO </t>
    </r>
    <r>
      <rPr>
        <i val="true"/>
        <sz val="10"/>
        <color rgb="FF7B3F00"/>
        <rFont val="Noto Sans CJK KR"/>
        <family val="2"/>
      </rPr>
      <t xml:space="preserve">기존 고객 크로스셀 </t>
    </r>
    <r>
      <rPr>
        <i val="true"/>
        <sz val="10"/>
        <color rgb="FF7B3F00"/>
        <rFont val="Arial"/>
        <family val="0"/>
        <charset val="1"/>
      </rPr>
      <t xml:space="preserve">+ loveTWO </t>
    </r>
    <r>
      <rPr>
        <i val="true"/>
        <sz val="10"/>
        <color rgb="FF7B3F00"/>
        <rFont val="Noto Sans CJK KR"/>
        <family val="2"/>
      </rPr>
      <t xml:space="preserve">독자 바이럴 </t>
    </r>
    <r>
      <rPr>
        <i val="true"/>
        <sz val="10"/>
        <color rgb="FF7B3F00"/>
        <rFont val="Arial"/>
        <family val="0"/>
        <charset val="1"/>
      </rPr>
      <t xml:space="preserve">(SNS </t>
    </r>
    <r>
      <rPr>
        <i val="true"/>
        <sz val="10"/>
        <color rgb="FF7B3F00"/>
        <rFont val="Noto Sans CJK KR"/>
        <family val="2"/>
      </rPr>
      <t xml:space="preserve">공유</t>
    </r>
    <r>
      <rPr>
        <i val="true"/>
        <sz val="10"/>
        <color rgb="FF7B3F00"/>
        <rFont val="Arial"/>
        <family val="0"/>
        <charset val="1"/>
      </rPr>
      <t xml:space="preserve">, K-factor 2</t>
    </r>
    <r>
      <rPr>
        <i val="true"/>
        <sz val="10"/>
        <color rgb="FF7B3F00"/>
        <rFont val="Noto Sans CJK KR"/>
        <family val="2"/>
      </rPr>
      <t xml:space="preserve">배</t>
    </r>
    <r>
      <rPr>
        <i val="true"/>
        <sz val="10"/>
        <color rgb="FF7B3F00"/>
        <rFont val="Arial"/>
        <family val="0"/>
        <charset val="1"/>
      </rPr>
      <t xml:space="preserve">) → SOLO</t>
    </r>
    <r>
      <rPr>
        <i val="true"/>
        <sz val="10"/>
        <color rgb="FF7B3F00"/>
        <rFont val="Noto Sans CJK KR"/>
        <family val="2"/>
      </rPr>
      <t xml:space="preserve">로 역유입</t>
    </r>
  </si>
  <si>
    <r>
      <rPr>
        <b val="true"/>
        <sz val="11"/>
        <color rgb="FFFFFFFF"/>
        <rFont val="Arial"/>
        <family val="0"/>
        <charset val="1"/>
      </rPr>
      <t xml:space="preserve">A. </t>
    </r>
    <r>
      <rPr>
        <b val="true"/>
        <sz val="11"/>
        <color rgb="FFFFFFFF"/>
        <rFont val="Noto Sans CJK KR"/>
        <family val="2"/>
      </rPr>
      <t xml:space="preserve">유입 소스 — </t>
    </r>
    <r>
      <rPr>
        <b val="true"/>
        <sz val="11"/>
        <color rgb="FFFFFFFF"/>
        <rFont val="Arial"/>
        <family val="0"/>
        <charset val="1"/>
      </rPr>
      <t xml:space="preserve">SOLO </t>
    </r>
    <r>
      <rPr>
        <b val="true"/>
        <sz val="11"/>
        <color rgb="FFFFFFFF"/>
        <rFont val="Noto Sans CJK KR"/>
        <family val="2"/>
      </rPr>
      <t xml:space="preserve">크로스셀 </t>
    </r>
    <r>
      <rPr>
        <b val="true"/>
        <sz val="11"/>
        <color rgb="FFFFFFFF"/>
        <rFont val="Arial"/>
        <family val="0"/>
        <charset val="1"/>
      </rPr>
      <t xml:space="preserve">+ </t>
    </r>
    <r>
      <rPr>
        <b val="true"/>
        <sz val="11"/>
        <color rgb="FFFFFFFF"/>
        <rFont val="Noto Sans CJK KR"/>
        <family val="2"/>
      </rPr>
      <t xml:space="preserve">독자 바이럴</t>
    </r>
  </si>
  <si>
    <r>
      <rPr>
        <sz val="10"/>
        <color rgb="FF000000"/>
        <rFont val="Arial"/>
        <family val="0"/>
        <charset val="1"/>
      </rPr>
      <t xml:space="preserve">SOLO </t>
    </r>
    <r>
      <rPr>
        <sz val="10"/>
        <color rgb="FF000000"/>
        <rFont val="Noto Sans CJK KR"/>
        <family val="2"/>
      </rPr>
      <t xml:space="preserve">연간 </t>
    </r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KR"/>
        <family val="2"/>
      </rPr>
      <t xml:space="preserve">구매자 수 </t>
    </r>
    <r>
      <rPr>
        <sz val="10"/>
        <color rgb="FF000000"/>
        <rFont val="Arial"/>
        <family val="0"/>
        <charset val="1"/>
      </rPr>
      <t xml:space="preserve">(SOLO</t>
    </r>
    <r>
      <rPr>
        <sz val="10"/>
        <color rgb="FF000000"/>
        <rFont val="Noto Sans CJK KR"/>
        <family val="2"/>
      </rPr>
      <t xml:space="preserve">시트 참조</t>
    </r>
    <r>
      <rPr>
        <sz val="10"/>
        <color rgb="FF000000"/>
        <rFont val="Arial"/>
        <family val="0"/>
        <charset val="1"/>
      </rPr>
      <t xml:space="preserve">)</t>
    </r>
  </si>
  <si>
    <t xml:space="preserve">명/년</t>
  </si>
  <si>
    <r>
      <rPr>
        <sz val="10"/>
        <color rgb="FF000000"/>
        <rFont val="Arial"/>
        <family val="0"/>
        <charset val="1"/>
      </rPr>
      <t xml:space="preserve">SOLO→loveTWO </t>
    </r>
    <r>
      <rPr>
        <sz val="10"/>
        <color rgb="FF000000"/>
        <rFont val="Noto Sans CJK KR"/>
        <family val="2"/>
      </rPr>
      <t xml:space="preserve">크로스셀 전환자</t>
    </r>
  </si>
  <si>
    <r>
      <rPr>
        <sz val="10"/>
        <color rgb="FF000000"/>
        <rFont val="Arial"/>
        <family val="0"/>
        <charset val="1"/>
      </rPr>
      <t xml:space="preserve">loveTWO </t>
    </r>
    <r>
      <rPr>
        <sz val="10"/>
        <color rgb="FF000000"/>
        <rFont val="Noto Sans CJK KR"/>
        <family val="2"/>
      </rPr>
      <t xml:space="preserve">독자 바이럴 신규 유저 </t>
    </r>
    <r>
      <rPr>
        <sz val="10"/>
        <color rgb="FF000000"/>
        <rFont val="Arial"/>
        <family val="0"/>
        <charset val="1"/>
      </rPr>
      <t xml:space="preserve">(K=0.3)</t>
    </r>
  </si>
  <si>
    <t xml:space="preserve">커플 공유 K=SOLO×2</t>
  </si>
  <si>
    <t xml:space="preserve">총 loveTWO 구매 대상자</t>
  </si>
  <si>
    <r>
      <rPr>
        <b val="true"/>
        <sz val="11"/>
        <color rgb="FFFFFFFF"/>
        <rFont val="Arial"/>
        <family val="0"/>
        <charset val="1"/>
      </rPr>
      <t xml:space="preserve">B. loveTWO </t>
    </r>
    <r>
      <rPr>
        <b val="true"/>
        <sz val="11"/>
        <color rgb="FFFFFFFF"/>
        <rFont val="Noto Sans CJK KR"/>
        <family val="2"/>
      </rPr>
      <t xml:space="preserve">오너 수익</t>
    </r>
  </si>
  <si>
    <t xml:space="preserve">기본 리포트 구매 (70% 선택)</t>
  </si>
  <si>
    <t xml:space="preserve">심화 번들 구매 (30% 선택)</t>
  </si>
  <si>
    <r>
      <rPr>
        <b val="true"/>
        <sz val="10"/>
        <color rgb="FFFFFFFF"/>
        <rFont val="Arial"/>
        <family val="0"/>
        <charset val="1"/>
      </rPr>
      <t xml:space="preserve">★ loveTWO </t>
    </r>
    <r>
      <rPr>
        <b val="true"/>
        <sz val="10"/>
        <color rgb="FFFFFFFF"/>
        <rFont val="Noto Sans CJK KR"/>
        <family val="2"/>
      </rPr>
      <t xml:space="preserve">연간 오너 순수익 합계 </t>
    </r>
    <r>
      <rPr>
        <b val="true"/>
        <sz val="10"/>
        <color rgb="FFFFFFFF"/>
        <rFont val="Arial"/>
        <family val="0"/>
        <charset val="1"/>
      </rPr>
      <t xml:space="preserve">(₩)</t>
    </r>
  </si>
  <si>
    <r>
      <rPr>
        <b val="true"/>
        <sz val="13"/>
        <color rgb="FFFFFFFF"/>
        <rFont val="Arial"/>
        <family val="0"/>
        <charset val="1"/>
      </rPr>
      <t xml:space="preserve">④ TEAM — </t>
    </r>
    <r>
      <rPr>
        <b val="true"/>
        <sz val="13"/>
        <color rgb="FFFFFFFF"/>
        <rFont val="Noto Sans CJK KR"/>
        <family val="2"/>
      </rPr>
      <t xml:space="preserve">조직 심리 다이나믹스 </t>
    </r>
    <r>
      <rPr>
        <b val="true"/>
        <sz val="13"/>
        <color rgb="FFFFFFFF"/>
        <rFont val="Arial"/>
        <family val="0"/>
        <charset val="1"/>
      </rPr>
      <t xml:space="preserve">B2B  |  </t>
    </r>
    <r>
      <rPr>
        <b val="true"/>
        <sz val="13"/>
        <color rgb="FFFFFFFF"/>
        <rFont val="Noto Sans CJK KR"/>
        <family val="2"/>
      </rPr>
      <t xml:space="preserve">수익 시뮬레이션 </t>
    </r>
    <r>
      <rPr>
        <b val="true"/>
        <sz val="13"/>
        <color rgb="FFFFFFFF"/>
        <rFont val="Arial"/>
        <family val="0"/>
        <charset val="1"/>
      </rPr>
      <t xml:space="preserve">(5</t>
    </r>
    <r>
      <rPr>
        <b val="true"/>
        <sz val="13"/>
        <color rgb="FFFFFFFF"/>
        <rFont val="Noto Sans CJK KR"/>
        <family val="2"/>
      </rPr>
      <t xml:space="preserve">년</t>
    </r>
    <r>
      <rPr>
        <b val="true"/>
        <sz val="13"/>
        <color rgb="FFFFFFFF"/>
        <rFont val="Arial"/>
        <family val="0"/>
        <charset val="1"/>
      </rPr>
      <t xml:space="preserve">)</t>
    </r>
  </si>
  <si>
    <r>
      <rPr>
        <i val="true"/>
        <sz val="10"/>
        <color rgb="FF1B5E20"/>
        <rFont val="Arial"/>
        <family val="0"/>
        <charset val="1"/>
      </rPr>
      <t xml:space="preserve">SOLO </t>
    </r>
    <r>
      <rPr>
        <i val="true"/>
        <sz val="10"/>
        <color rgb="FF1B5E20"/>
        <rFont val="Noto Sans CJK KR"/>
        <family val="2"/>
      </rPr>
      <t xml:space="preserve">구매자 → 팀 도입 추천</t>
    </r>
    <r>
      <rPr>
        <i val="true"/>
        <sz val="10"/>
        <color rgb="FF1B5E20"/>
        <rFont val="Arial"/>
        <family val="0"/>
        <charset val="1"/>
      </rPr>
      <t xml:space="preserve">(Bottom-Up) → </t>
    </r>
    <r>
      <rPr>
        <i val="true"/>
        <sz val="10"/>
        <color rgb="FF1B5E20"/>
        <rFont val="Noto Sans CJK KR"/>
        <family val="2"/>
      </rPr>
      <t xml:space="preserve">기업 라이선스  </t>
    </r>
    <r>
      <rPr>
        <i val="true"/>
        <sz val="10"/>
        <color rgb="FF1B5E20"/>
        <rFont val="Arial"/>
        <family val="0"/>
        <charset val="1"/>
      </rPr>
      <t xml:space="preserve">|  2028</t>
    </r>
    <r>
      <rPr>
        <i val="true"/>
        <sz val="10"/>
        <color rgb="FF1B5E20"/>
        <rFont val="Noto Sans CJK KR"/>
        <family val="2"/>
      </rPr>
      <t xml:space="preserve">년 </t>
    </r>
    <r>
      <rPr>
        <i val="true"/>
        <sz val="10"/>
        <color rgb="FF1B5E20"/>
        <rFont val="Arial"/>
        <family val="0"/>
        <charset val="1"/>
      </rPr>
      <t xml:space="preserve">Phase3 </t>
    </r>
    <r>
      <rPr>
        <i val="true"/>
        <sz val="10"/>
        <color rgb="FF1B5E20"/>
        <rFont val="Noto Sans CJK KR"/>
        <family val="2"/>
      </rPr>
      <t xml:space="preserve">본격 런칭</t>
    </r>
  </si>
  <si>
    <r>
      <rPr>
        <b val="true"/>
        <sz val="11"/>
        <color rgb="FFFFFFFF"/>
        <rFont val="Arial"/>
        <family val="0"/>
        <charset val="1"/>
      </rPr>
      <t xml:space="preserve">A. TEAM </t>
    </r>
    <r>
      <rPr>
        <b val="true"/>
        <sz val="11"/>
        <color rgb="FFFFFFFF"/>
        <rFont val="Noto Sans CJK KR"/>
        <family val="2"/>
      </rPr>
      <t xml:space="preserve">계약 건수</t>
    </r>
  </si>
  <si>
    <r>
      <rPr>
        <sz val="10"/>
        <color rgb="FF000000"/>
        <rFont val="Arial"/>
        <family val="0"/>
        <charset val="1"/>
      </rPr>
      <t xml:space="preserve">SOLO </t>
    </r>
    <r>
      <rPr>
        <sz val="10"/>
        <color rgb="FF000000"/>
        <rFont val="Noto Sans CJK KR"/>
        <family val="2"/>
      </rPr>
      <t xml:space="preserve">연간 구매자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KR"/>
        <family val="2"/>
      </rPr>
      <t xml:space="preserve">참조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</si>
  <si>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SOLO→TEAM </t>
    </r>
    <r>
      <rPr>
        <sz val="10"/>
        <color rgb="FF000000"/>
        <rFont val="Noto Sans CJK KR"/>
        <family val="2"/>
      </rPr>
      <t xml:space="preserve">추천 전환 계약 건수</t>
    </r>
  </si>
  <si>
    <t xml:space="preserve">건/년</t>
  </si>
  <si>
    <t xml:space="preserve">전환율 단계적 상승(3%→12%)</t>
  </si>
  <si>
    <r>
      <rPr>
        <b val="true"/>
        <sz val="11"/>
        <color rgb="FFFFFFFF"/>
        <rFont val="Arial"/>
        <family val="0"/>
        <charset val="1"/>
      </rPr>
      <t xml:space="preserve">B. TEAM </t>
    </r>
    <r>
      <rPr>
        <b val="true"/>
        <sz val="11"/>
        <color rgb="FFFFFFFF"/>
        <rFont val="Noto Sans CJK KR"/>
        <family val="2"/>
      </rPr>
      <t xml:space="preserve">오너 수익</t>
    </r>
  </si>
  <si>
    <t xml:space="preserve">기본 진단 계약 (80%)</t>
  </si>
  <si>
    <r>
      <rPr>
        <sz val="10"/>
        <color rgb="FF000000"/>
        <rFont val="Arial"/>
        <family val="0"/>
        <charset val="1"/>
      </rPr>
      <t xml:space="preserve">Hotmart </t>
    </r>
    <r>
      <rPr>
        <sz val="10"/>
        <color rgb="FF000000"/>
        <rFont val="Noto Sans CJK KR"/>
        <family val="2"/>
      </rPr>
      <t xml:space="preserve">수수료 없음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KR"/>
        <family val="2"/>
      </rPr>
      <t xml:space="preserve">직접계약</t>
    </r>
    <r>
      <rPr>
        <sz val="10"/>
        <color rgb="FF000000"/>
        <rFont val="Arial"/>
        <family val="0"/>
        <charset val="1"/>
      </rPr>
      <t xml:space="preserve">)</t>
    </r>
  </si>
  <si>
    <t xml:space="preserve">워크숍 패키지 계약 (20%)</t>
  </si>
  <si>
    <r>
      <rPr>
        <b val="true"/>
        <sz val="10"/>
        <color rgb="FFFFFFFF"/>
        <rFont val="Arial"/>
        <family val="0"/>
        <charset val="1"/>
      </rPr>
      <t xml:space="preserve">★ TEAM </t>
    </r>
    <r>
      <rPr>
        <b val="true"/>
        <sz val="10"/>
        <color rgb="FFFFFFFF"/>
        <rFont val="Noto Sans CJK KR"/>
        <family val="2"/>
      </rPr>
      <t xml:space="preserve">연간 오너 순수익 합계 </t>
    </r>
    <r>
      <rPr>
        <b val="true"/>
        <sz val="10"/>
        <color rgb="FFFFFFFF"/>
        <rFont val="Arial"/>
        <family val="0"/>
        <charset val="1"/>
      </rPr>
      <t xml:space="preserve">(₩)</t>
    </r>
  </si>
  <si>
    <r>
      <rPr>
        <b val="true"/>
        <sz val="15"/>
        <color rgb="FFFFFFFF"/>
        <rFont val="Arial"/>
        <family val="0"/>
        <charset val="1"/>
      </rPr>
      <t xml:space="preserve">ShiningShadow </t>
    </r>
    <r>
      <rPr>
        <b val="true"/>
        <sz val="15"/>
        <color rgb="FFFFFFFF"/>
        <rFont val="Noto Sans CJK KR"/>
        <family val="2"/>
      </rPr>
      <t xml:space="preserve">브랜드 생태계 — 통합 수익 요약 대시보드</t>
    </r>
  </si>
  <si>
    <r>
      <rPr>
        <i val="true"/>
        <sz val="10"/>
        <color rgb="FF1A2030"/>
        <rFont val="Arial"/>
        <family val="0"/>
        <charset val="1"/>
      </rPr>
      <t xml:space="preserve">Shadowgram(</t>
    </r>
    <r>
      <rPr>
        <i val="true"/>
        <sz val="10"/>
        <color rgb="FF1A2030"/>
        <rFont val="Noto Sans CJK KR"/>
        <family val="2"/>
      </rPr>
      <t xml:space="preserve">검사도구</t>
    </r>
    <r>
      <rPr>
        <i val="true"/>
        <sz val="10"/>
        <color rgb="FF1A2030"/>
        <rFont val="Arial"/>
        <family val="0"/>
        <charset val="1"/>
      </rPr>
      <t xml:space="preserve">) → SOLO(1</t>
    </r>
    <r>
      <rPr>
        <i val="true"/>
        <sz val="10"/>
        <color rgb="FF1A2030"/>
        <rFont val="Noto Sans CJK KR"/>
        <family val="2"/>
      </rPr>
      <t xml:space="preserve">인</t>
    </r>
    <r>
      <rPr>
        <i val="true"/>
        <sz val="10"/>
        <color rgb="FF1A2030"/>
        <rFont val="Arial"/>
        <family val="0"/>
        <charset val="1"/>
      </rPr>
      <t xml:space="preserve">) + loveTWO(2</t>
    </r>
    <r>
      <rPr>
        <i val="true"/>
        <sz val="10"/>
        <color rgb="FF1A2030"/>
        <rFont val="Noto Sans CJK KR"/>
        <family val="2"/>
      </rPr>
      <t xml:space="preserve">인</t>
    </r>
    <r>
      <rPr>
        <i val="true"/>
        <sz val="10"/>
        <color rgb="FF1A2030"/>
        <rFont val="Arial"/>
        <family val="0"/>
        <charset val="1"/>
      </rPr>
      <t xml:space="preserve">) + TEAM(</t>
    </r>
    <r>
      <rPr>
        <i val="true"/>
        <sz val="10"/>
        <color rgb="FF1A2030"/>
        <rFont val="Noto Sans CJK KR"/>
        <family val="2"/>
      </rPr>
      <t xml:space="preserve">조직</t>
    </r>
    <r>
      <rPr>
        <i val="true"/>
        <sz val="10"/>
        <color rgb="FF1A2030"/>
        <rFont val="Arial"/>
        <family val="0"/>
        <charset val="1"/>
      </rPr>
      <t xml:space="preserve">)   |   LATAM → </t>
    </r>
    <r>
      <rPr>
        <i val="true"/>
        <sz val="10"/>
        <color rgb="FF1A2030"/>
        <rFont val="Noto Sans CJK KR"/>
        <family val="2"/>
      </rPr>
      <t xml:space="preserve">영어권 확장</t>
    </r>
  </si>
  <si>
    <r>
      <rPr>
        <b val="true"/>
        <sz val="10"/>
        <color rgb="FFFFFFFF"/>
        <rFont val="Arial"/>
        <family val="0"/>
        <charset val="1"/>
      </rPr>
      <t xml:space="preserve">[ ShiningShadow </t>
    </r>
    <r>
      <rPr>
        <b val="true"/>
        <sz val="10"/>
        <color rgb="FFFFFFFF"/>
        <rFont val="Noto Sans CJK KR"/>
        <family val="2"/>
      </rPr>
      <t xml:space="preserve">우산 브랜드 </t>
    </r>
    <r>
      <rPr>
        <b val="true"/>
        <sz val="10"/>
        <color rgb="FFFFFFFF"/>
        <rFont val="Arial"/>
        <family val="0"/>
        <charset val="1"/>
      </rPr>
      <t xml:space="preserve">]  ★ Shadowgram(</t>
    </r>
    <r>
      <rPr>
        <b val="true"/>
        <sz val="10"/>
        <color rgb="FFFFFFFF"/>
        <rFont val="Noto Sans CJK KR"/>
        <family val="2"/>
      </rPr>
      <t xml:space="preserve">검사도구 공통</t>
    </r>
    <r>
      <rPr>
        <b val="true"/>
        <sz val="10"/>
        <color rgb="FFFFFFFF"/>
        <rFont val="Arial"/>
        <family val="0"/>
        <charset val="1"/>
      </rPr>
      <t xml:space="preserve">)  →  SOLO / loveTWO / TEAM  →  leftnoon(</t>
    </r>
    <r>
      <rPr>
        <b val="true"/>
        <sz val="10"/>
        <color rgb="FFFFFFFF"/>
        <rFont val="Noto Sans CJK KR"/>
        <family val="2"/>
      </rPr>
      <t xml:space="preserve">커뮤니티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</si>
  <si>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5</t>
    </r>
    <r>
      <rPr>
        <b val="true"/>
        <sz val="11"/>
        <color rgb="FFFFFFFF"/>
        <rFont val="Noto Sans CJK KR"/>
        <family val="2"/>
      </rPr>
      <t xml:space="preserve">년 누적</t>
    </r>
  </si>
  <si>
    <t xml:space="preserve">비중</t>
  </si>
  <si>
    <r>
      <rPr>
        <b val="true"/>
        <sz val="11"/>
        <color rgb="FFFFFFFF"/>
        <rFont val="Arial"/>
        <family val="0"/>
        <charset val="1"/>
      </rPr>
      <t xml:space="preserve">[ </t>
    </r>
    <r>
      <rPr>
        <b val="true"/>
        <sz val="11"/>
        <color rgb="FFFFFFFF"/>
        <rFont val="Noto Sans CJK KR"/>
        <family val="2"/>
      </rPr>
      <t xml:space="preserve">시장 단계 </t>
    </r>
    <r>
      <rPr>
        <b val="true"/>
        <sz val="11"/>
        <color rgb="FFFFFFFF"/>
        <rFont val="Arial"/>
        <family val="0"/>
        <charset val="1"/>
      </rPr>
      <t xml:space="preserve">]  2026:LATAM</t>
    </r>
    <r>
      <rPr>
        <b val="true"/>
        <sz val="11"/>
        <color rgb="FFFFFFFF"/>
        <rFont val="Noto Sans CJK KR"/>
        <family val="2"/>
      </rPr>
      <t xml:space="preserve">론칭  </t>
    </r>
    <r>
      <rPr>
        <b val="true"/>
        <sz val="11"/>
        <color rgb="FFFFFFFF"/>
        <rFont val="Arial"/>
        <family val="0"/>
        <charset val="1"/>
      </rPr>
      <t xml:space="preserve">|  2027:BR+PT</t>
    </r>
    <r>
      <rPr>
        <b val="true"/>
        <sz val="11"/>
        <color rgb="FFFFFFFF"/>
        <rFont val="Noto Sans CJK KR"/>
        <family val="2"/>
      </rPr>
      <t xml:space="preserve">추가  </t>
    </r>
    <r>
      <rPr>
        <b val="true"/>
        <sz val="11"/>
        <color rgb="FFFFFFFF"/>
        <rFont val="Arial"/>
        <family val="0"/>
        <charset val="1"/>
      </rPr>
      <t xml:space="preserve">|  2028:</t>
    </r>
    <r>
      <rPr>
        <b val="true"/>
        <sz val="11"/>
        <color rgb="FFFFFFFF"/>
        <rFont val="Noto Sans CJK KR"/>
        <family val="2"/>
      </rPr>
      <t xml:space="preserve">영어권진출</t>
    </r>
  </si>
  <si>
    <t xml:space="preserve">Phase1
LATAM SP</t>
  </si>
  <si>
    <t xml:space="preserve">Phase1+2
LATAM+PT</t>
  </si>
  <si>
    <r>
      <rPr>
        <b val="true"/>
        <sz val="9"/>
        <color rgb="FF2E4A7C"/>
        <rFont val="Arial"/>
        <family val="0"/>
        <charset val="1"/>
      </rPr>
      <t xml:space="preserve">Phase1+2+3
+</t>
    </r>
    <r>
      <rPr>
        <b val="true"/>
        <sz val="9"/>
        <color rgb="FF2E4A7C"/>
        <rFont val="Noto Sans CJK KR"/>
        <family val="2"/>
      </rPr>
      <t xml:space="preserve">영어권</t>
    </r>
  </si>
  <si>
    <r>
      <rPr>
        <b val="true"/>
        <sz val="9"/>
        <color rgb="FF2E4A7C"/>
        <rFont val="Arial"/>
        <family val="0"/>
        <charset val="1"/>
      </rPr>
      <t xml:space="preserve">All Markets
</t>
    </r>
    <r>
      <rPr>
        <b val="true"/>
        <sz val="9"/>
        <color rgb="FF2E4A7C"/>
        <rFont val="Noto Sans CJK KR"/>
        <family val="2"/>
      </rPr>
      <t xml:space="preserve">안정 성장</t>
    </r>
  </si>
  <si>
    <r>
      <rPr>
        <b val="true"/>
        <sz val="9"/>
        <color rgb="FF2E4A7C"/>
        <rFont val="Arial"/>
        <family val="0"/>
        <charset val="1"/>
      </rPr>
      <t xml:space="preserve">All Markets
</t>
    </r>
    <r>
      <rPr>
        <b val="true"/>
        <sz val="9"/>
        <color rgb="FF2E4A7C"/>
        <rFont val="Noto Sans CJK KR"/>
        <family val="2"/>
      </rPr>
      <t xml:space="preserve">본격 스케일</t>
    </r>
  </si>
  <si>
    <r>
      <rPr>
        <b val="true"/>
        <sz val="11"/>
        <color rgb="FFFFFFFF"/>
        <rFont val="Arial"/>
        <family val="0"/>
        <charset val="1"/>
      </rPr>
      <t xml:space="preserve">A. </t>
    </r>
    <r>
      <rPr>
        <b val="true"/>
        <sz val="11"/>
        <color rgb="FFFFFFFF"/>
        <rFont val="Noto Sans CJK KR"/>
        <family val="2"/>
      </rPr>
      <t xml:space="preserve">브랜드별 연간 오너 순수익 </t>
    </r>
    <r>
      <rPr>
        <b val="true"/>
        <sz val="11"/>
        <color rgb="FFFFFFFF"/>
        <rFont val="Arial"/>
        <family val="0"/>
        <charset val="1"/>
      </rPr>
      <t xml:space="preserve">(₩)</t>
    </r>
  </si>
  <si>
    <r>
      <rPr>
        <b val="true"/>
        <sz val="10"/>
        <color rgb="FF2E4A7C"/>
        <rFont val="Arial"/>
        <family val="0"/>
        <charset val="1"/>
      </rPr>
      <t xml:space="preserve">SOLO (1</t>
    </r>
    <r>
      <rPr>
        <b val="true"/>
        <sz val="10"/>
        <color rgb="FF2E4A7C"/>
        <rFont val="Noto Sans CJK KR"/>
        <family val="2"/>
      </rPr>
      <t xml:space="preserve">인 </t>
    </r>
    <r>
      <rPr>
        <b val="true"/>
        <sz val="10"/>
        <color rgb="FF2E4A7C"/>
        <rFont val="Arial"/>
        <family val="0"/>
        <charset val="1"/>
      </rPr>
      <t xml:space="preserve">Self-Help)</t>
    </r>
  </si>
  <si>
    <r>
      <rPr>
        <b val="true"/>
        <sz val="10"/>
        <color rgb="FF7B3F00"/>
        <rFont val="Arial"/>
        <family val="0"/>
        <charset val="1"/>
      </rPr>
      <t xml:space="preserve">loveTWO (2</t>
    </r>
    <r>
      <rPr>
        <b val="true"/>
        <sz val="10"/>
        <color rgb="FF7B3F00"/>
        <rFont val="Noto Sans CJK KR"/>
        <family val="2"/>
      </rPr>
      <t xml:space="preserve">인 커플</t>
    </r>
    <r>
      <rPr>
        <b val="true"/>
        <sz val="10"/>
        <color rgb="FF7B3F00"/>
        <rFont val="Arial"/>
        <family val="0"/>
        <charset val="1"/>
      </rPr>
      <t xml:space="preserve">)</t>
    </r>
  </si>
  <si>
    <r>
      <rPr>
        <b val="true"/>
        <sz val="10"/>
        <color rgb="FF1B5E20"/>
        <rFont val="Arial"/>
        <family val="0"/>
        <charset val="1"/>
      </rPr>
      <t xml:space="preserve">TEAM (</t>
    </r>
    <r>
      <rPr>
        <b val="true"/>
        <sz val="10"/>
        <color rgb="FF1B5E20"/>
        <rFont val="Noto Sans CJK KR"/>
        <family val="2"/>
      </rPr>
      <t xml:space="preserve">조직 </t>
    </r>
    <r>
      <rPr>
        <b val="true"/>
        <sz val="10"/>
        <color rgb="FF1B5E20"/>
        <rFont val="Arial"/>
        <family val="0"/>
        <charset val="1"/>
      </rPr>
      <t xml:space="preserve">B2B)</t>
    </r>
  </si>
  <si>
    <r>
      <rPr>
        <b val="true"/>
        <sz val="10"/>
        <color rgb="FF3D0066"/>
        <rFont val="Arial"/>
        <family val="0"/>
        <charset val="1"/>
      </rPr>
      <t xml:space="preserve">leftnoon </t>
    </r>
    <r>
      <rPr>
        <b val="true"/>
        <sz val="10"/>
        <color rgb="FF3D0066"/>
        <rFont val="Noto Sans CJK KR"/>
        <family val="2"/>
      </rPr>
      <t xml:space="preserve">커뮤니티 구독 </t>
    </r>
    <r>
      <rPr>
        <b val="true"/>
        <sz val="10"/>
        <color rgb="FF3D0066"/>
        <rFont val="Arial"/>
        <family val="0"/>
        <charset val="1"/>
      </rPr>
      <t xml:space="preserve">(Year3+)</t>
    </r>
  </si>
  <si>
    <r>
      <rPr>
        <b val="true"/>
        <sz val="10"/>
        <color rgb="FFFFFFFF"/>
        <rFont val="Arial"/>
        <family val="0"/>
        <charset val="1"/>
      </rPr>
      <t xml:space="preserve">★ ShiningShadow </t>
    </r>
    <r>
      <rPr>
        <b val="true"/>
        <sz val="10"/>
        <color rgb="FFFFFFFF"/>
        <rFont val="Noto Sans CJK KR"/>
        <family val="2"/>
      </rPr>
      <t xml:space="preserve">생태계 연간 총 수익 </t>
    </r>
    <r>
      <rPr>
        <b val="true"/>
        <sz val="10"/>
        <color rgb="FFFFFFFF"/>
        <rFont val="Arial"/>
        <family val="0"/>
        <charset val="1"/>
      </rPr>
      <t xml:space="preserve">(₩)</t>
    </r>
  </si>
  <si>
    <r>
      <rPr>
        <b val="true"/>
        <sz val="11"/>
        <color rgb="FFFFFFFF"/>
        <rFont val="Arial"/>
        <family val="0"/>
        <charset val="1"/>
      </rPr>
      <t xml:space="preserve">B. </t>
    </r>
    <r>
      <rPr>
        <b val="true"/>
        <sz val="11"/>
        <color rgb="FFFFFFFF"/>
        <rFont val="Noto Sans CJK KR"/>
        <family val="2"/>
      </rPr>
      <t xml:space="preserve">핵심 </t>
    </r>
    <r>
      <rPr>
        <b val="true"/>
        <sz val="11"/>
        <color rgb="FFFFFFFF"/>
        <rFont val="Arial"/>
        <family val="0"/>
        <charset val="1"/>
      </rPr>
      <t xml:space="preserve">KPI </t>
    </r>
    <r>
      <rPr>
        <b val="true"/>
        <sz val="11"/>
        <color rgb="FFFFFFFF"/>
        <rFont val="Noto Sans CJK KR"/>
        <family val="2"/>
      </rPr>
      <t xml:space="preserve">지표</t>
    </r>
  </si>
  <si>
    <t xml:space="preserve">지표</t>
  </si>
  <si>
    <t xml:space="preserve">총 파트너 수 (명)</t>
  </si>
  <si>
    <r>
      <rPr>
        <sz val="10"/>
        <color rgb="FF000000"/>
        <rFont val="Arial"/>
        <family val="0"/>
        <charset val="1"/>
      </rPr>
      <t xml:space="preserve">LATAM→</t>
    </r>
    <r>
      <rPr>
        <sz val="10"/>
        <color rgb="FF000000"/>
        <rFont val="Noto Sans CJK KR"/>
        <family val="2"/>
      </rPr>
      <t xml:space="preserve">영어권 누적</t>
    </r>
  </si>
  <si>
    <t xml:space="preserve">연간 T1 판매량 (개)</t>
  </si>
  <si>
    <r>
      <rPr>
        <sz val="10"/>
        <color rgb="FF000000"/>
        <rFont val="Arial"/>
        <family val="0"/>
        <charset val="1"/>
      </rPr>
      <t xml:space="preserve">SOLO </t>
    </r>
    <r>
      <rPr>
        <sz val="10"/>
        <color rgb="FF000000"/>
        <rFont val="Noto Sans CJK KR"/>
        <family val="2"/>
      </rPr>
      <t xml:space="preserve">시장 침투 지표</t>
    </r>
  </si>
  <si>
    <r>
      <rPr>
        <sz val="10"/>
        <color rgb="FF000000"/>
        <rFont val="Arial"/>
        <family val="0"/>
        <charset val="1"/>
      </rPr>
      <t xml:space="preserve">loveTWO </t>
    </r>
    <r>
      <rPr>
        <sz val="10"/>
        <color rgb="FF000000"/>
        <rFont val="Noto Sans CJK KR"/>
        <family val="2"/>
      </rPr>
      <t xml:space="preserve">유저 수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KR"/>
        <family val="2"/>
      </rPr>
      <t xml:space="preserve">명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KR"/>
        <family val="2"/>
      </rPr>
      <t xml:space="preserve">년</t>
    </r>
    <r>
      <rPr>
        <sz val="10"/>
        <color rgb="FF000000"/>
        <rFont val="Arial"/>
        <family val="0"/>
        <charset val="1"/>
      </rPr>
      <t xml:space="preserve">)</t>
    </r>
  </si>
  <si>
    <t xml:space="preserve">크로스셀 + 바이럴 합산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</si>
  <si>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KR"/>
        <family val="2"/>
      </rPr>
      <t xml:space="preserve">계약 건수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KR"/>
        <family val="2"/>
      </rPr>
      <t xml:space="preserve">건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KR"/>
        <family val="2"/>
      </rPr>
      <t xml:space="preserve">년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</si>
  <si>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KR"/>
        <family val="2"/>
      </rPr>
      <t xml:space="preserve">파일럿 → </t>
    </r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Noto Sans CJK KR"/>
        <family val="2"/>
      </rPr>
      <t xml:space="preserve">본격</t>
    </r>
  </si>
  <si>
    <t xml:space="preserve">월 평균 수익 (₩)</t>
  </si>
  <si>
    <t xml:space="preserve">민철 개입 ≈ 0 자동화 기준</t>
  </si>
  <si>
    <r>
      <rPr>
        <b val="true"/>
        <sz val="11"/>
        <color rgb="FFFFFFFF"/>
        <rFont val="Arial"/>
        <family val="0"/>
        <charset val="1"/>
      </rPr>
      <t xml:space="preserve">C. </t>
    </r>
    <r>
      <rPr>
        <b val="true"/>
        <sz val="11"/>
        <color rgb="FFFFFFFF"/>
        <rFont val="Noto Sans CJK KR"/>
        <family val="2"/>
      </rPr>
      <t xml:space="preserve">시장 확장 로드맵</t>
    </r>
  </si>
  <si>
    <t xml:space="preserve">연도</t>
  </si>
  <si>
    <t xml:space="preserve">단계</t>
  </si>
  <si>
    <t xml:space="preserve">시장</t>
  </si>
  <si>
    <t xml:space="preserve">파트너 전략</t>
  </si>
  <si>
    <r>
      <rPr>
        <b val="true"/>
        <sz val="10"/>
        <color rgb="FF2E4A7C"/>
        <rFont val="Arial"/>
        <family val="0"/>
        <charset val="1"/>
      </rPr>
      <t xml:space="preserve">2026 — LATAM </t>
    </r>
    <r>
      <rPr>
        <b val="true"/>
        <sz val="10"/>
        <color rgb="FF2E4A7C"/>
        <rFont val="Noto Sans CJK KR"/>
        <family val="2"/>
      </rPr>
      <t xml:space="preserve">스페인어권</t>
    </r>
  </si>
  <si>
    <t xml:space="preserve">Phase 1</t>
  </si>
  <si>
    <t xml:space="preserve">멕시코·콜롬비아·아르헨티나·칠레 + 미국 내 히스패닉</t>
  </si>
  <si>
    <t xml:space="preserve">파트너 50명 런칭</t>
  </si>
  <si>
    <r>
      <rPr>
        <b val="true"/>
        <sz val="10"/>
        <color rgb="FF2E4A7C"/>
        <rFont val="Arial"/>
        <family val="0"/>
        <charset val="1"/>
      </rPr>
      <t xml:space="preserve">2027 — </t>
    </r>
    <r>
      <rPr>
        <b val="true"/>
        <sz val="10"/>
        <color rgb="FF2E4A7C"/>
        <rFont val="Noto Sans CJK KR"/>
        <family val="2"/>
      </rPr>
      <t xml:space="preserve">포르투갈어권</t>
    </r>
  </si>
  <si>
    <t xml:space="preserve">Phase 2</t>
  </si>
  <si>
    <t xml:space="preserve">브라질 + 포르투갈 (Hotmart 본거지 브라질 최강)</t>
  </si>
  <si>
    <t xml:space="preserve">파트너 +30명</t>
  </si>
  <si>
    <r>
      <rPr>
        <b val="true"/>
        <sz val="10"/>
        <color rgb="FF2E4A7C"/>
        <rFont val="Arial"/>
        <family val="0"/>
        <charset val="1"/>
      </rPr>
      <t xml:space="preserve">2028 — </t>
    </r>
    <r>
      <rPr>
        <b val="true"/>
        <sz val="10"/>
        <color rgb="FF2E4A7C"/>
        <rFont val="Noto Sans CJK KR"/>
        <family val="2"/>
      </rPr>
      <t xml:space="preserve">영어권 진출</t>
    </r>
  </si>
  <si>
    <t xml:space="preserve">Phase 3</t>
  </si>
  <si>
    <t xml:space="preserve">미국·영국·캐나다·호주 (SOLO + TEAM 영어판 출시)</t>
  </si>
  <si>
    <t xml:space="preserve">파트너 +20명</t>
  </si>
  <si>
    <r>
      <rPr>
        <b val="true"/>
        <sz val="10"/>
        <color rgb="FF2E4A7C"/>
        <rFont val="Arial"/>
        <family val="0"/>
        <charset val="1"/>
      </rPr>
      <t xml:space="preserve">2029~30 — </t>
    </r>
    <r>
      <rPr>
        <b val="true"/>
        <sz val="10"/>
        <color rgb="FF2E4A7C"/>
        <rFont val="Noto Sans CJK KR"/>
        <family val="2"/>
      </rPr>
      <t xml:space="preserve">전 시장 안정화</t>
    </r>
  </si>
  <si>
    <t xml:space="preserve">Phase 4</t>
  </si>
  <si>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KR"/>
        <family val="2"/>
      </rPr>
      <t xml:space="preserve">개 언어권 통합 운영</t>
    </r>
    <r>
      <rPr>
        <sz val="10"/>
        <color rgb="FF000000"/>
        <rFont val="Arial"/>
        <family val="0"/>
        <charset val="1"/>
      </rPr>
      <t xml:space="preserve">, leftnoon </t>
    </r>
    <r>
      <rPr>
        <sz val="10"/>
        <color rgb="FF000000"/>
        <rFont val="Noto Sans CJK KR"/>
        <family val="2"/>
      </rPr>
      <t xml:space="preserve">구독 본격화</t>
    </r>
  </si>
  <si>
    <t xml:space="preserve">플랫폼 기업화</t>
  </si>
  <si>
    <r>
      <rPr>
        <b val="true"/>
        <sz val="11"/>
        <color rgb="FFFFFFFF"/>
        <rFont val="Arial"/>
        <family val="0"/>
        <charset val="1"/>
      </rPr>
      <t xml:space="preserve">D. </t>
    </r>
    <r>
      <rPr>
        <b val="true"/>
        <sz val="11"/>
        <color rgb="FFFFFFFF"/>
        <rFont val="Noto Sans CJK KR"/>
        <family val="2"/>
      </rPr>
      <t xml:space="preserve">경쟁사 대비 포지셔닝</t>
    </r>
  </si>
  <si>
    <t xml:space="preserve">기준</t>
  </si>
  <si>
    <t xml:space="preserve">Gallup SF</t>
  </si>
  <si>
    <t xml:space="preserve">16Personalities</t>
  </si>
  <si>
    <t xml:space="preserve">Hogan</t>
  </si>
  <si>
    <t xml:space="preserve">ShiningShadow★</t>
  </si>
  <si>
    <t xml:space="preserve">연 매출(추정)</t>
  </si>
  <si>
    <r>
      <rPr>
        <sz val="10"/>
        <color rgb="FF000000"/>
        <rFont val="Arial"/>
        <family val="0"/>
        <charset val="1"/>
      </rPr>
      <t xml:space="preserve">$200</t>
    </r>
    <r>
      <rPr>
        <sz val="10"/>
        <color rgb="FF000000"/>
        <rFont val="Noto Sans CJK KR"/>
        <family val="2"/>
      </rPr>
      <t xml:space="preserve">억</t>
    </r>
    <r>
      <rPr>
        <sz val="10"/>
        <color rgb="FF000000"/>
        <rFont val="Arial"/>
        <family val="0"/>
        <charset val="1"/>
      </rPr>
      <t xml:space="preserve">+</t>
    </r>
  </si>
  <si>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Noto Sans CJK KR"/>
        <family val="2"/>
      </rPr>
      <t xml:space="preserve">억</t>
    </r>
    <r>
      <rPr>
        <sz val="10"/>
        <color rgb="FF000000"/>
        <rFont val="Arial"/>
        <family val="0"/>
        <charset val="1"/>
      </rPr>
      <t xml:space="preserve">+</t>
    </r>
  </si>
  <si>
    <t xml:space="preserve">목표 $1억 (5년)</t>
  </si>
  <si>
    <r>
      <rPr>
        <b val="true"/>
        <sz val="10"/>
        <color rgb="FF000000"/>
        <rFont val="Arial"/>
        <family val="0"/>
        <charset val="1"/>
      </rPr>
      <t xml:space="preserve">T1 </t>
    </r>
    <r>
      <rPr>
        <b val="true"/>
        <sz val="10"/>
        <color rgb="FF000000"/>
        <rFont val="Noto Sans CJK KR"/>
        <family val="2"/>
      </rPr>
      <t xml:space="preserve">가격</t>
    </r>
  </si>
  <si>
    <t xml:space="preserve">$30~50</t>
  </si>
  <si>
    <t xml:space="preserve">무료~$49</t>
  </si>
  <si>
    <t xml:space="preserve">$100~500</t>
  </si>
  <si>
    <r>
      <rPr>
        <b val="true"/>
        <sz val="10"/>
        <color rgb="FF2E4A7C"/>
        <rFont val="Arial"/>
        <family val="0"/>
        <charset val="1"/>
      </rPr>
      <t xml:space="preserve">$12.80 (</t>
    </r>
    <r>
      <rPr>
        <b val="true"/>
        <sz val="10"/>
        <color rgb="FF2E4A7C"/>
        <rFont val="Noto Sans CJK KR"/>
        <family val="2"/>
      </rPr>
      <t xml:space="preserve">진입장벽↓</t>
    </r>
    <r>
      <rPr>
        <b val="true"/>
        <sz val="10"/>
        <color rgb="FF2E4A7C"/>
        <rFont val="Arial"/>
        <family val="0"/>
        <charset val="1"/>
      </rPr>
      <t xml:space="preserve">)</t>
    </r>
  </si>
  <si>
    <r>
      <rPr>
        <b val="true"/>
        <sz val="10"/>
        <color rgb="FF000000"/>
        <rFont val="Arial"/>
        <family val="0"/>
        <charset val="1"/>
      </rPr>
      <t xml:space="preserve">LATAM </t>
    </r>
    <r>
      <rPr>
        <b val="true"/>
        <sz val="10"/>
        <color rgb="FF000000"/>
        <rFont val="Noto Sans CJK KR"/>
        <family val="2"/>
      </rPr>
      <t xml:space="preserve">특화</t>
    </r>
  </si>
  <si>
    <t xml:space="preserve">❌ 영어중심</t>
  </si>
  <si>
    <t xml:space="preserve">△ 번역만</t>
  </si>
  <si>
    <t xml:space="preserve">❌</t>
  </si>
  <si>
    <t xml:space="preserve">✅ 문화적 현지화</t>
  </si>
  <si>
    <t xml:space="preserve">커플 버전</t>
  </si>
  <si>
    <t xml:space="preserve">✅ loveTWO</t>
  </si>
  <si>
    <t xml:space="preserve">팀 B2B</t>
  </si>
  <si>
    <r>
      <rPr>
        <sz val="10"/>
        <color rgb="FF000000"/>
        <rFont val="Arial"/>
        <family val="0"/>
        <charset val="1"/>
      </rPr>
      <t xml:space="preserve">✅ (</t>
    </r>
    <r>
      <rPr>
        <sz val="10"/>
        <color rgb="FF000000"/>
        <rFont val="Noto Sans CJK KR"/>
        <family val="2"/>
      </rPr>
      <t xml:space="preserve">고가</t>
    </r>
    <r>
      <rPr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</si>
  <si>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color rgb="FF2E4A7C"/>
        <rFont val="Arial"/>
        <family val="0"/>
        <charset val="1"/>
      </rPr>
      <t xml:space="preserve">✅ TEAM (</t>
    </r>
    <r>
      <rPr>
        <b val="true"/>
        <sz val="10"/>
        <color rgb="FF2E4A7C"/>
        <rFont val="Noto Sans CJK KR"/>
        <family val="2"/>
      </rPr>
      <t xml:space="preserve">합리적 가격</t>
    </r>
    <r>
      <rPr>
        <b val="true"/>
        <sz val="10"/>
        <color rgb="FF2E4A7C"/>
        <rFont val="Arial"/>
        <family val="0"/>
        <charset val="1"/>
      </rPr>
      <t xml:space="preserve">)</t>
    </r>
  </si>
  <si>
    <t xml:space="preserve">커뮤니티</t>
  </si>
  <si>
    <r>
      <rPr>
        <b val="true"/>
        <sz val="10"/>
        <color rgb="FF2E4A7C"/>
        <rFont val="Arial"/>
        <family val="0"/>
        <charset val="1"/>
      </rPr>
      <t xml:space="preserve">✅ leftnoon (</t>
    </r>
    <r>
      <rPr>
        <b val="true"/>
        <sz val="10"/>
        <color rgb="FF2E4A7C"/>
        <rFont val="Noto Sans CJK KR"/>
        <family val="2"/>
      </rPr>
      <t xml:space="preserve">구독</t>
    </r>
    <r>
      <rPr>
        <b val="true"/>
        <sz val="10"/>
        <color rgb="FF2E4A7C"/>
        <rFont val="Arial"/>
        <family val="0"/>
        <charset val="1"/>
      </rPr>
      <t xml:space="preserve">)</t>
    </r>
  </si>
  <si>
    <r>
      <rPr>
        <b val="true"/>
        <sz val="10"/>
        <color rgb="FF000000"/>
        <rFont val="Arial"/>
        <family val="0"/>
        <charset val="1"/>
      </rPr>
      <t xml:space="preserve">Jung </t>
    </r>
    <r>
      <rPr>
        <b val="true"/>
        <sz val="10"/>
        <color rgb="FF000000"/>
        <rFont val="Noto Sans CJK KR"/>
        <family val="2"/>
      </rPr>
      <t xml:space="preserve">원전 기반</t>
    </r>
  </si>
  <si>
    <t xml:space="preserve">△</t>
  </si>
  <si>
    <t xml:space="preserve">✅ 주기능/열등기능</t>
  </si>
  <si>
    <t xml:space="preserve">★ 파란 텍스트=입력값(변경 가능) | 검은 텍스트=수식 | 초록 텍스트=타 시트 연동   | 가정 시트(① 가정)에서 환율·가격·전환율·파트너수 조정 시 전체 자동 반영</t>
  </si>
  <si>
    <t xml:space="preserve">⑥ 시장별 상세 — 스페인어권 → 포르투갈어권 → 영어권 단계별 파트너 &amp; 수익 분해</t>
  </si>
  <si>
    <t xml:space="preserve">국가/시장</t>
  </si>
  <si>
    <t xml:space="preserve">Phase</t>
  </si>
  <si>
    <t xml:space="preserve">런칭연도</t>
  </si>
  <si>
    <t xml:space="preserve">초기파트너</t>
  </si>
  <si>
    <r>
      <rPr>
        <b val="true"/>
        <sz val="10"/>
        <color rgb="FFFFFFFF"/>
        <rFont val="Arial"/>
        <family val="0"/>
        <charset val="1"/>
      </rPr>
      <t xml:space="preserve">3</t>
    </r>
    <r>
      <rPr>
        <b val="true"/>
        <sz val="10"/>
        <color rgb="FFFFFFFF"/>
        <rFont val="Noto Sans CJK KR"/>
        <family val="2"/>
      </rPr>
      <t xml:space="preserve">년차파트너</t>
    </r>
  </si>
  <si>
    <r>
      <rPr>
        <b val="true"/>
        <sz val="10"/>
        <color rgb="FFFFFFFF"/>
        <rFont val="Arial"/>
        <family val="0"/>
        <charset val="1"/>
      </rPr>
      <t xml:space="preserve">Hotmart</t>
    </r>
    <r>
      <rPr>
        <b val="true"/>
        <sz val="10"/>
        <color rgb="FFFFFFFF"/>
        <rFont val="Noto Sans CJK KR"/>
        <family val="2"/>
      </rPr>
      <t xml:space="preserve">인지도</t>
    </r>
  </si>
  <si>
    <r>
      <rPr>
        <b val="true"/>
        <sz val="10"/>
        <color rgb="FFFFFFFF"/>
        <rFont val="Arial"/>
        <family val="0"/>
        <charset val="1"/>
      </rPr>
      <t xml:space="preserve">PPP </t>
    </r>
    <r>
      <rPr>
        <b val="true"/>
        <sz val="10"/>
        <color rgb="FFFFFFFF"/>
        <rFont val="Noto Sans CJK KR"/>
        <family val="2"/>
      </rPr>
      <t xml:space="preserve">가격지수</t>
    </r>
  </si>
  <si>
    <t xml:space="preserve">연간T1판매(성숙)</t>
  </si>
  <si>
    <t xml:space="preserve">오너연수익₩(성숙)</t>
  </si>
  <si>
    <t xml:space="preserve">🇲🇽 멕시코</t>
  </si>
  <si>
    <t xml:space="preserve">★★★★☆</t>
  </si>
  <si>
    <r>
      <rPr>
        <sz val="10"/>
        <color rgb="FF000000"/>
        <rFont val="Arial"/>
        <family val="0"/>
        <charset val="1"/>
      </rPr>
      <t xml:space="preserve">Hotmart </t>
    </r>
    <r>
      <rPr>
        <sz val="10"/>
        <color rgb="FF000000"/>
        <rFont val="Noto Sans CJK KR"/>
        <family val="2"/>
      </rPr>
      <t xml:space="preserve">오피스 있음</t>
    </r>
  </si>
  <si>
    <t xml:space="preserve">🇨🇴 콜롬비아</t>
  </si>
  <si>
    <t xml:space="preserve">유튜브·TikTok 침투율 높음</t>
  </si>
  <si>
    <t xml:space="preserve">🇦🇷 아르헨티나</t>
  </si>
  <si>
    <t xml:space="preserve">★★★☆☆</t>
  </si>
  <si>
    <t xml:space="preserve">심리학 관심 높은 시장</t>
  </si>
  <si>
    <t xml:space="preserve">🇨🇱 칠레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</si>
  <si>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KR"/>
        <family val="2"/>
      </rPr>
      <t xml:space="preserve">인당 </t>
    </r>
    <r>
      <rPr>
        <sz val="10"/>
        <color rgb="FF000000"/>
        <rFont val="Arial"/>
        <family val="0"/>
        <charset val="1"/>
      </rPr>
      <t xml:space="preserve">GDP LATAM </t>
    </r>
    <r>
      <rPr>
        <sz val="10"/>
        <color rgb="FF000000"/>
        <rFont val="Noto Sans CJK KR"/>
        <family val="2"/>
      </rPr>
      <t xml:space="preserve">최상위</t>
    </r>
  </si>
  <si>
    <t xml:space="preserve">🇺🇸 US Hispanic</t>
  </si>
  <si>
    <t xml:space="preserve">영어+스페인어 양용 가능</t>
  </si>
  <si>
    <t xml:space="preserve">🇧🇷 브라질</t>
  </si>
  <si>
    <t xml:space="preserve">★★★★★</t>
  </si>
  <si>
    <r>
      <rPr>
        <sz val="10"/>
        <color rgb="FF000000"/>
        <rFont val="Arial"/>
        <family val="0"/>
        <charset val="1"/>
      </rPr>
      <t xml:space="preserve">Hotmart </t>
    </r>
    <r>
      <rPr>
        <sz val="10"/>
        <color rgb="FF000000"/>
        <rFont val="Noto Sans CJK KR"/>
        <family val="2"/>
      </rPr>
      <t xml:space="preserve">본거지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KR"/>
        <family val="2"/>
      </rPr>
      <t xml:space="preserve">최우선</t>
    </r>
  </si>
  <si>
    <t xml:space="preserve">🇵🇹 포르투갈</t>
  </si>
  <si>
    <t xml:space="preserve">★★☆☆☆</t>
  </si>
  <si>
    <t xml:space="preserve">유럽 포르투갈어 교두보</t>
  </si>
  <si>
    <t xml:space="preserve">🇺🇸 미국 (영어)</t>
  </si>
  <si>
    <t xml:space="preserve">영어권 최대 시장</t>
  </si>
  <si>
    <t xml:space="preserve">🇬🇧 영국</t>
  </si>
  <si>
    <t xml:space="preserve">자기계발 콘텐츠 시장 강</t>
  </si>
  <si>
    <t xml:space="preserve">🇦🇺 호주</t>
  </si>
  <si>
    <r>
      <rPr>
        <sz val="10"/>
        <color rgb="FF000000"/>
        <rFont val="Arial"/>
        <family val="0"/>
        <charset val="1"/>
      </rPr>
      <t xml:space="preserve">B2B </t>
    </r>
    <r>
      <rPr>
        <sz val="10"/>
        <color rgb="FF000000"/>
        <rFont val="Noto Sans CJK KR"/>
        <family val="2"/>
      </rPr>
      <t xml:space="preserve">코칭 시장 성숙</t>
    </r>
  </si>
  <si>
    <t xml:space="preserve">🇨🇦 캐나다</t>
  </si>
  <si>
    <t xml:space="preserve">영어+불어권 이중 공략</t>
  </si>
  <si>
    <t xml:space="preserve">전체 시장 합계 (성숙 기준)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</si>
</sst>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\$#,##0.00"/>
    <numFmt numFmtId="167" formatCode="0%"/>
    <numFmt numFmtId="168" formatCode="0.0%"/>
    <numFmt numFmtId="169" formatCode="0.00"/>
  </numFmts>
  <fonts count="5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4"/>
      <color rgb="FFFFFFFF"/>
      <name val="Noto Sans CJK KR"/>
      <family val="2"/>
    </font>
    <font>
      <i val="true"/>
      <sz val="10"/>
      <color rgb="FF1A2030"/>
      <name val="Arial"/>
      <family val="0"/>
      <charset val="1"/>
    </font>
    <font>
      <i val="true"/>
      <sz val="10"/>
      <color rgb="FF1A2030"/>
      <name val="Noto Sans CJK KR"/>
      <family val="2"/>
    </font>
    <font>
      <b val="true"/>
      <sz val="11"/>
      <color rgb="FFFFFFFF"/>
      <name val="Noto Sans CJK KR"/>
      <family val="2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Noto Sans CJK KR"/>
      <family val="2"/>
    </font>
    <font>
      <b val="true"/>
      <sz val="10"/>
      <color rgb="FF1A2030"/>
      <name val="Noto Sans CJK KR"/>
      <family val="2"/>
      <charset val="1"/>
    </font>
    <font>
      <b val="true"/>
      <sz val="10"/>
      <color rgb="FF1A2030"/>
      <name val="Arial"/>
      <family val="0"/>
      <charset val="1"/>
    </font>
    <font>
      <b val="true"/>
      <sz val="10"/>
      <color rgb="FF1A2030"/>
      <name val="Noto Sans CJK KR"/>
      <family val="2"/>
    </font>
    <font>
      <sz val="10"/>
      <color rgb="FF000000"/>
      <name val="Noto Sans CJK KR"/>
      <family val="2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00"/>
      <name val="Noto Sans CJK KR"/>
      <family val="2"/>
    </font>
    <font>
      <b val="true"/>
      <sz val="13"/>
      <color rgb="FFFFFFFF"/>
      <name val="Arial"/>
      <family val="0"/>
      <charset val="1"/>
    </font>
    <font>
      <b val="true"/>
      <sz val="13"/>
      <color rgb="FFFFFFFF"/>
      <name val="Noto Sans CJK KR"/>
      <family val="2"/>
    </font>
    <font>
      <i val="true"/>
      <sz val="10"/>
      <color rgb="FF2E4A7C"/>
      <name val="Arial"/>
      <family val="0"/>
      <charset val="1"/>
    </font>
    <font>
      <i val="true"/>
      <sz val="10"/>
      <color rgb="FF2E4A7C"/>
      <name val="Noto Sans CJK KR"/>
      <family val="2"/>
    </font>
    <font>
      <b val="true"/>
      <sz val="10"/>
      <color rgb="FFFFFFFF"/>
      <name val="Noto Sans CJK KR"/>
      <family val="2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KR"/>
      <family val="2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10"/>
      <color rgb="FF7B3F00"/>
      <name val="Arial"/>
      <family val="0"/>
      <charset val="1"/>
    </font>
    <font>
      <i val="true"/>
      <sz val="10"/>
      <color rgb="FF7B3F00"/>
      <name val="Noto Sans CJK KR"/>
      <family val="2"/>
    </font>
    <font>
      <i val="true"/>
      <sz val="10"/>
      <color rgb="FF1B5E20"/>
      <name val="Arial"/>
      <family val="0"/>
      <charset val="1"/>
    </font>
    <font>
      <i val="true"/>
      <sz val="10"/>
      <color rgb="FF1B5E20"/>
      <name val="Noto Sans CJK KR"/>
      <family val="2"/>
    </font>
    <font>
      <b val="true"/>
      <sz val="15"/>
      <color rgb="FFFFFFFF"/>
      <name val="Arial"/>
      <family val="0"/>
      <charset val="1"/>
    </font>
    <font>
      <b val="true"/>
      <sz val="15"/>
      <color rgb="FFFFFFFF"/>
      <name val="Noto Sans CJK KR"/>
      <family val="2"/>
    </font>
    <font>
      <b val="true"/>
      <sz val="10"/>
      <color rgb="FF000000"/>
      <name val="Noto Sans CJK KR"/>
      <family val="2"/>
      <charset val="1"/>
    </font>
    <font>
      <b val="true"/>
      <sz val="9"/>
      <color rgb="FF2E4A7C"/>
      <name val="Arial"/>
      <family val="0"/>
      <charset val="1"/>
    </font>
    <font>
      <b val="true"/>
      <sz val="9"/>
      <color rgb="FF2E4A7C"/>
      <name val="Noto Sans CJK KR"/>
      <family val="2"/>
    </font>
    <font>
      <b val="true"/>
      <sz val="10"/>
      <color rgb="FF2E4A7C"/>
      <name val="Arial"/>
      <family val="0"/>
      <charset val="1"/>
    </font>
    <font>
      <b val="true"/>
      <sz val="10"/>
      <color rgb="FF2E4A7C"/>
      <name val="Noto Sans CJK KR"/>
      <family val="2"/>
    </font>
    <font>
      <b val="true"/>
      <sz val="10"/>
      <color rgb="FF7B3F00"/>
      <name val="Arial"/>
      <family val="0"/>
      <charset val="1"/>
    </font>
    <font>
      <b val="true"/>
      <sz val="10"/>
      <color rgb="FF7B3F00"/>
      <name val="Noto Sans CJK KR"/>
      <family val="2"/>
    </font>
    <font>
      <b val="true"/>
      <sz val="10"/>
      <color rgb="FF1B5E20"/>
      <name val="Arial"/>
      <family val="0"/>
      <charset val="1"/>
    </font>
    <font>
      <b val="true"/>
      <sz val="10"/>
      <color rgb="FF1B5E20"/>
      <name val="Noto Sans CJK KR"/>
      <family val="2"/>
    </font>
    <font>
      <b val="true"/>
      <sz val="10"/>
      <color rgb="FF3D0066"/>
      <name val="Arial"/>
      <family val="0"/>
      <charset val="1"/>
    </font>
    <font>
      <b val="true"/>
      <sz val="10"/>
      <color rgb="FF3D0066"/>
      <name val="Noto Sans CJK KR"/>
      <family val="2"/>
    </font>
    <font>
      <b val="true"/>
      <sz val="11"/>
      <color rgb="FF000000"/>
      <name val="Arial"/>
      <family val="0"/>
      <charset val="1"/>
    </font>
    <font>
      <b val="true"/>
      <sz val="10"/>
      <color rgb="FF2E4A7C"/>
      <name val="Noto Sans CJK KR"/>
      <family val="2"/>
      <charset val="1"/>
    </font>
    <font>
      <b val="true"/>
      <sz val="10"/>
      <color rgb="FF000000"/>
      <name val="Noto Sans CJK KR"/>
      <family val="2"/>
    </font>
    <font>
      <i val="true"/>
      <sz val="9"/>
      <color rgb="FF8899AA"/>
      <name val="Noto Sans CJK KR"/>
      <family val="2"/>
      <charset val="1"/>
    </font>
    <font>
      <b val="true"/>
      <sz val="13"/>
      <color rgb="FFFFFFFF"/>
      <name val="Noto Sans CJK KR"/>
      <family val="2"/>
      <charset val="1"/>
    </font>
    <font>
      <sz val="10"/>
      <color rgb="FF2E4A7C"/>
      <name val="Arial"/>
      <family val="0"/>
      <charset val="1"/>
    </font>
    <font>
      <sz val="10"/>
      <color rgb="FF7B3F00"/>
      <name val="Arial"/>
      <family val="0"/>
      <charset val="1"/>
    </font>
    <font>
      <sz val="10"/>
      <color rgb="FF1B5E20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A2030"/>
        <bgColor rgb="FF003300"/>
      </patternFill>
    </fill>
    <fill>
      <patternFill patternType="solid">
        <fgColor rgb="FFE8C96A"/>
        <bgColor rgb="FFFFCC00"/>
      </patternFill>
    </fill>
    <fill>
      <patternFill patternType="solid">
        <fgColor rgb="FF2E4A7C"/>
        <bgColor rgb="FF003366"/>
      </patternFill>
    </fill>
    <fill>
      <patternFill patternType="solid">
        <fgColor rgb="FFD8DCE8"/>
        <bgColor rgb="FFE8EDF7"/>
      </patternFill>
    </fill>
    <fill>
      <patternFill patternType="solid">
        <fgColor rgb="FFF4F6FB"/>
        <bgColor rgb="FFE8F5E9"/>
      </patternFill>
    </fill>
    <fill>
      <patternFill patternType="solid">
        <fgColor rgb="FFE8EDF7"/>
        <bgColor rgb="FFE8F5E9"/>
      </patternFill>
    </fill>
    <fill>
      <patternFill patternType="solid">
        <fgColor rgb="FF7B3F00"/>
        <bgColor rgb="FF993366"/>
      </patternFill>
    </fill>
    <fill>
      <patternFill patternType="solid">
        <fgColor rgb="FFFFF3E0"/>
        <bgColor rgb="FFF4F6FB"/>
      </patternFill>
    </fill>
    <fill>
      <patternFill patternType="solid">
        <fgColor rgb="FF1B5E20"/>
        <bgColor rgb="FF008000"/>
      </patternFill>
    </fill>
    <fill>
      <patternFill patternType="solid">
        <fgColor rgb="FFE8F5E9"/>
        <bgColor rgb="FFE8EDF7"/>
      </patternFill>
    </fill>
    <fill>
      <patternFill patternType="solid">
        <fgColor rgb="FF3D0066"/>
        <bgColor rgb="FF000080"/>
      </patternFill>
    </fill>
    <fill>
      <patternFill patternType="solid">
        <fgColor rgb="FFF3E5F5"/>
        <bgColor rgb="FFE8EDF7"/>
      </patternFill>
    </fill>
    <fill>
      <patternFill patternType="solid">
        <fgColor rgb="FFB8860B"/>
        <bgColor rgb="FFFF9900"/>
      </patternFill>
    </fill>
    <fill>
      <patternFill patternType="solid">
        <fgColor rgb="FFFFFFFF"/>
        <bgColor rgb="FFF4F6FB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888888"/>
      </left>
      <right/>
      <top style="medium">
        <color rgb="FF888888"/>
      </top>
      <bottom style="medium">
        <color rgb="FF888888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0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2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5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1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AAAAAA"/>
      <rgbColor rgb="FF888888"/>
      <rgbColor rgb="FF9999FF"/>
      <rgbColor rgb="FF993366"/>
      <rgbColor rgb="FFFFF3E0"/>
      <rgbColor rgb="FFE8F5E9"/>
      <rgbColor rgb="FF3D0066"/>
      <rgbColor rgb="FFFF8080"/>
      <rgbColor rgb="FF0066CC"/>
      <rgbColor rgb="FFD8DC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DF7"/>
      <rgbColor rgb="FFF4F6FB"/>
      <rgbColor rgb="FFF3E5F5"/>
      <rgbColor rgb="FF99CCFF"/>
      <rgbColor rgb="FFFF99CC"/>
      <rgbColor rgb="FFCC99FF"/>
      <rgbColor rgb="FFE8C96A"/>
      <rgbColor rgb="FF3366FF"/>
      <rgbColor rgb="FF33CCCC"/>
      <rgbColor rgb="FF99CC00"/>
      <rgbColor rgb="FFFFCC00"/>
      <rgbColor rgb="FFFF9900"/>
      <rgbColor rgb="FFFF6600"/>
      <rgbColor rgb="FF666699"/>
      <rgbColor rgb="FF8899AA"/>
      <rgbColor rgb="FF003366"/>
      <rgbColor rgb="FF339966"/>
      <rgbColor rgb="FF003300"/>
      <rgbColor rgb="FF1B5E20"/>
      <rgbColor rgb="FF7B3F00"/>
      <rgbColor rgb="FF993366"/>
      <rgbColor rgb="FF2E4A7C"/>
      <rgbColor rgb="FF1A20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8"/>
    <col collapsed="false" customWidth="true" hidden="false" outlineLevel="0" max="3" min="3" style="1" width="38"/>
    <col collapsed="false" customWidth="true" hidden="false" outlineLevel="0" max="4" min="4" style="1" width="2"/>
    <col collapsed="false" customWidth="true" hidden="false" outlineLevel="0" max="5" min="5" style="1" width="28"/>
    <col collapsed="false" customWidth="true" hidden="false" outlineLevel="0" max="6" min="6" style="1" width="18"/>
    <col collapsed="false" customWidth="true" hidden="false" outlineLevel="0" max="7" min="7" style="1" width="38"/>
  </cols>
  <sheetData>
    <row r="1" customFormat="false" ht="39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4" customFormat="false" ht="16.5" hidden="false" customHeight="true" outlineLevel="0" collapsed="false">
      <c r="A4" s="4" t="s">
        <v>2</v>
      </c>
      <c r="B4" s="4"/>
      <c r="C4" s="4"/>
      <c r="E4" s="5" t="s">
        <v>3</v>
      </c>
      <c r="F4" s="5"/>
      <c r="G4" s="5"/>
    </row>
    <row r="5" customFormat="false" ht="15" hidden="false" customHeight="true" outlineLevel="0" collapsed="false">
      <c r="A5" s="6" t="s">
        <v>4</v>
      </c>
      <c r="B5" s="6" t="s">
        <v>5</v>
      </c>
      <c r="C5" s="6" t="s">
        <v>6</v>
      </c>
      <c r="E5" s="6" t="s">
        <v>7</v>
      </c>
      <c r="F5" s="7" t="s">
        <v>8</v>
      </c>
      <c r="G5" s="6" t="s">
        <v>9</v>
      </c>
    </row>
    <row r="6" customFormat="false" ht="15" hidden="false" customHeight="true" outlineLevel="0" collapsed="false">
      <c r="A6" s="8" t="s">
        <v>10</v>
      </c>
      <c r="B6" s="9" t="n">
        <v>1400</v>
      </c>
      <c r="C6" s="10" t="s">
        <v>11</v>
      </c>
      <c r="E6" s="11" t="s">
        <v>12</v>
      </c>
      <c r="F6" s="12" t="n">
        <v>12.8</v>
      </c>
      <c r="G6" s="13" t="n">
        <v>0.7</v>
      </c>
    </row>
    <row r="7" customFormat="false" ht="15" hidden="false" customHeight="true" outlineLevel="0" collapsed="false">
      <c r="A7" s="14" t="s">
        <v>13</v>
      </c>
      <c r="B7" s="15" t="n">
        <v>0.099</v>
      </c>
      <c r="C7" s="10" t="s">
        <v>14</v>
      </c>
      <c r="E7" s="11" t="s">
        <v>15</v>
      </c>
      <c r="F7" s="12" t="n">
        <v>19.9</v>
      </c>
      <c r="G7" s="13" t="n">
        <v>0.5</v>
      </c>
    </row>
    <row r="8" customFormat="false" ht="15" hidden="false" customHeight="true" outlineLevel="0" collapsed="false">
      <c r="A8" s="14" t="s">
        <v>16</v>
      </c>
      <c r="B8" s="15" t="n">
        <v>0.25</v>
      </c>
      <c r="C8" s="16" t="s">
        <v>17</v>
      </c>
      <c r="E8" s="11" t="s">
        <v>18</v>
      </c>
      <c r="F8" s="12" t="n">
        <v>28.9</v>
      </c>
      <c r="G8" s="13" t="n">
        <v>0.4</v>
      </c>
    </row>
    <row r="9" customFormat="false" ht="15" hidden="false" customHeight="true" outlineLevel="0" collapsed="false">
      <c r="A9" s="14" t="s">
        <v>19</v>
      </c>
      <c r="B9" s="15" t="n">
        <v>0.15</v>
      </c>
      <c r="C9" s="16" t="s">
        <v>20</v>
      </c>
      <c r="E9" s="17" t="s">
        <v>21</v>
      </c>
      <c r="F9" s="12" t="n">
        <v>9.9</v>
      </c>
      <c r="G9" s="13" t="n">
        <v>0.6</v>
      </c>
    </row>
    <row r="10" customFormat="false" ht="15" hidden="false" customHeight="true" outlineLevel="0" collapsed="false">
      <c r="A10" s="8" t="s">
        <v>22</v>
      </c>
      <c r="B10" s="15" t="n">
        <v>0.2</v>
      </c>
      <c r="C10" s="16" t="s">
        <v>23</v>
      </c>
      <c r="E10" s="17" t="s">
        <v>24</v>
      </c>
      <c r="F10" s="12" t="n">
        <v>9.9</v>
      </c>
      <c r="G10" s="13" t="n">
        <v>0.6</v>
      </c>
    </row>
    <row r="11" customFormat="false" ht="15" hidden="false" customHeight="true" outlineLevel="0" collapsed="false">
      <c r="A11" s="8" t="s">
        <v>25</v>
      </c>
      <c r="B11" s="15" t="n">
        <v>0.65</v>
      </c>
      <c r="C11" s="16" t="s">
        <v>26</v>
      </c>
      <c r="E11" s="17" t="s">
        <v>27</v>
      </c>
      <c r="F11" s="12" t="n">
        <v>9.9</v>
      </c>
      <c r="G11" s="13" t="n">
        <v>0.6</v>
      </c>
    </row>
    <row r="12" customFormat="false" ht="15" hidden="false" customHeight="true" outlineLevel="0" collapsed="false">
      <c r="A12" s="8" t="s">
        <v>28</v>
      </c>
      <c r="B12" s="15" t="n">
        <v>0.05</v>
      </c>
      <c r="C12" s="16" t="s">
        <v>29</v>
      </c>
    </row>
    <row r="13" customFormat="false" ht="16.5" hidden="false" customHeight="true" outlineLevel="0" collapsed="false">
      <c r="A13" s="8" t="s">
        <v>30</v>
      </c>
      <c r="B13" s="15" t="n">
        <v>0.03</v>
      </c>
      <c r="C13" s="16" t="s">
        <v>31</v>
      </c>
      <c r="E13" s="5" t="s">
        <v>32</v>
      </c>
      <c r="F13" s="5"/>
      <c r="G13" s="5"/>
    </row>
    <row r="14" customFormat="false" ht="15" hidden="false" customHeight="true" outlineLevel="0" collapsed="false">
      <c r="E14" s="6" t="s">
        <v>33</v>
      </c>
      <c r="F14" s="6" t="s">
        <v>34</v>
      </c>
      <c r="G14" s="6" t="s">
        <v>6</v>
      </c>
    </row>
    <row r="15" customFormat="false" ht="16.5" hidden="false" customHeight="true" outlineLevel="0" collapsed="false">
      <c r="A15" s="18" t="s">
        <v>35</v>
      </c>
      <c r="B15" s="18"/>
      <c r="C15" s="18"/>
      <c r="E15" s="11" t="s">
        <v>36</v>
      </c>
      <c r="F15" s="15" t="n">
        <v>0.24</v>
      </c>
      <c r="G15" s="16" t="s">
        <v>37</v>
      </c>
    </row>
    <row r="16" customFormat="false" ht="15" hidden="false" customHeight="true" outlineLevel="0" collapsed="false">
      <c r="A16" s="6" t="s">
        <v>38</v>
      </c>
      <c r="B16" s="6" t="s">
        <v>39</v>
      </c>
      <c r="C16" s="6" t="s">
        <v>40</v>
      </c>
      <c r="E16" s="11" t="s">
        <v>41</v>
      </c>
      <c r="F16" s="15" t="n">
        <v>0.1</v>
      </c>
      <c r="G16" s="10" t="s">
        <v>42</v>
      </c>
    </row>
    <row r="17" customFormat="false" ht="15" hidden="false" customHeight="true" outlineLevel="0" collapsed="false">
      <c r="A17" s="11" t="s">
        <v>43</v>
      </c>
      <c r="B17" s="9" t="n">
        <v>50</v>
      </c>
      <c r="C17" s="9" t="n">
        <v>300</v>
      </c>
      <c r="E17" s="11" t="s">
        <v>44</v>
      </c>
      <c r="F17" s="15" t="n">
        <v>0.15</v>
      </c>
      <c r="G17" s="16" t="s">
        <v>45</v>
      </c>
    </row>
    <row r="18" customFormat="false" ht="15" hidden="false" customHeight="true" outlineLevel="0" collapsed="false">
      <c r="A18" s="11" t="s">
        <v>46</v>
      </c>
      <c r="B18" s="9" t="n">
        <v>30</v>
      </c>
      <c r="C18" s="9" t="n">
        <v>150</v>
      </c>
    </row>
    <row r="19" customFormat="false" ht="16.5" hidden="false" customHeight="true" outlineLevel="0" collapsed="false">
      <c r="A19" s="11" t="s">
        <v>47</v>
      </c>
      <c r="B19" s="9" t="n">
        <v>20</v>
      </c>
      <c r="C19" s="9" t="n">
        <v>200</v>
      </c>
      <c r="E19" s="19" t="s">
        <v>48</v>
      </c>
      <c r="F19" s="19"/>
      <c r="G19" s="19"/>
    </row>
    <row r="20" customFormat="false" ht="15" hidden="false" customHeight="true" outlineLevel="0" collapsed="false">
      <c r="E20" s="6" t="s">
        <v>7</v>
      </c>
      <c r="F20" s="7" t="s">
        <v>8</v>
      </c>
      <c r="G20" s="6" t="s">
        <v>9</v>
      </c>
    </row>
    <row r="21" customFormat="false" ht="15" hidden="false" customHeight="true" outlineLevel="0" collapsed="false">
      <c r="E21" s="20" t="s">
        <v>49</v>
      </c>
      <c r="F21" s="12" t="n">
        <v>14.9</v>
      </c>
      <c r="G21" s="13" t="n">
        <v>0.6</v>
      </c>
    </row>
    <row r="22" customFormat="false" ht="15" hidden="false" customHeight="true" outlineLevel="0" collapsed="false">
      <c r="E22" s="20" t="s">
        <v>50</v>
      </c>
      <c r="F22" s="12" t="n">
        <v>24.9</v>
      </c>
      <c r="G22" s="13" t="n">
        <v>0.5</v>
      </c>
    </row>
    <row r="23" customFormat="false" ht="15" hidden="false" customHeight="true" outlineLevel="0" collapsed="false">
      <c r="E23" s="20" t="s">
        <v>51</v>
      </c>
      <c r="F23" s="15" t="n">
        <v>0.2</v>
      </c>
      <c r="G23" s="10" t="s">
        <v>52</v>
      </c>
    </row>
    <row r="25" customFormat="false" ht="16.5" hidden="false" customHeight="true" outlineLevel="0" collapsed="false">
      <c r="E25" s="21" t="s">
        <v>53</v>
      </c>
      <c r="F25" s="21"/>
      <c r="G25" s="21"/>
    </row>
    <row r="26" customFormat="false" ht="15" hidden="false" customHeight="true" outlineLevel="0" collapsed="false">
      <c r="E26" s="6" t="s">
        <v>7</v>
      </c>
      <c r="F26" s="7" t="s">
        <v>54</v>
      </c>
      <c r="G26" s="6" t="s">
        <v>6</v>
      </c>
    </row>
    <row r="27" customFormat="false" ht="15" hidden="false" customHeight="true" outlineLevel="0" collapsed="false">
      <c r="E27" s="22" t="s">
        <v>55</v>
      </c>
      <c r="F27" s="12" t="n">
        <v>149</v>
      </c>
      <c r="G27" s="16" t="s">
        <v>56</v>
      </c>
    </row>
    <row r="28" customFormat="false" ht="15" hidden="false" customHeight="true" outlineLevel="0" collapsed="false">
      <c r="E28" s="22" t="s">
        <v>57</v>
      </c>
      <c r="F28" s="12" t="n">
        <v>299</v>
      </c>
      <c r="G28" s="16" t="s">
        <v>58</v>
      </c>
    </row>
    <row r="29" customFormat="false" ht="15" hidden="false" customHeight="true" outlineLevel="0" collapsed="false">
      <c r="E29" s="22" t="s">
        <v>59</v>
      </c>
      <c r="F29" s="15" t="n">
        <v>0.08</v>
      </c>
      <c r="G29" s="10" t="s">
        <v>60</v>
      </c>
    </row>
    <row r="30" customFormat="false" ht="15" hidden="false" customHeight="true" outlineLevel="0" collapsed="false">
      <c r="E30" s="22" t="s">
        <v>61</v>
      </c>
      <c r="F30" s="9" t="n">
        <v>8</v>
      </c>
      <c r="G30" s="10" t="s">
        <v>62</v>
      </c>
    </row>
    <row r="31" customFormat="false" ht="15" hidden="false" customHeight="true" outlineLevel="0" collapsed="false">
      <c r="E31" s="22" t="s">
        <v>63</v>
      </c>
      <c r="F31" s="15" t="n">
        <v>0.3</v>
      </c>
      <c r="G31" s="10" t="s">
        <v>64</v>
      </c>
    </row>
    <row r="33" customFormat="false" ht="16.5" hidden="false" customHeight="true" outlineLevel="0" collapsed="false">
      <c r="E33" s="23" t="s">
        <v>65</v>
      </c>
      <c r="F33" s="23"/>
      <c r="G33" s="23"/>
    </row>
    <row r="34" customFormat="false" ht="15" hidden="false" customHeight="true" outlineLevel="0" collapsed="false">
      <c r="E34" s="6" t="s">
        <v>4</v>
      </c>
      <c r="F34" s="6" t="s">
        <v>5</v>
      </c>
      <c r="G34" s="6" t="s">
        <v>6</v>
      </c>
    </row>
    <row r="35" customFormat="false" ht="15" hidden="false" customHeight="true" outlineLevel="0" collapsed="false">
      <c r="E35" s="24" t="s">
        <v>66</v>
      </c>
      <c r="F35" s="12" t="n">
        <v>19</v>
      </c>
      <c r="G35" s="10" t="s">
        <v>67</v>
      </c>
    </row>
    <row r="36" customFormat="false" ht="15" hidden="false" customHeight="true" outlineLevel="0" collapsed="false">
      <c r="E36" s="25" t="s">
        <v>68</v>
      </c>
      <c r="F36" s="15" t="n">
        <v>0.12</v>
      </c>
      <c r="G36" s="10" t="s">
        <v>69</v>
      </c>
    </row>
  </sheetData>
  <mergeCells count="9">
    <mergeCell ref="A1:G1"/>
    <mergeCell ref="A2:G2"/>
    <mergeCell ref="A4:C4"/>
    <mergeCell ref="E4:G4"/>
    <mergeCell ref="E13:G13"/>
    <mergeCell ref="A15:C15"/>
    <mergeCell ref="E19:G19"/>
    <mergeCell ref="E25:G25"/>
    <mergeCell ref="E33:G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10" min="3" style="1" width="14"/>
  </cols>
  <sheetData>
    <row r="1" customFormat="false" ht="34.5" hidden="false" customHeight="true" outlineLevel="0" collapsed="false">
      <c r="A1" s="26" t="s">
        <v>70</v>
      </c>
      <c r="B1" s="26"/>
      <c r="C1" s="26"/>
      <c r="D1" s="26"/>
      <c r="E1" s="26"/>
      <c r="F1" s="26"/>
      <c r="G1" s="26"/>
      <c r="H1" s="26"/>
      <c r="I1" s="26"/>
      <c r="J1" s="26"/>
    </row>
    <row r="2" customFormat="false" ht="15" hidden="false" customHeight="true" outlineLevel="0" collapsed="false">
      <c r="A2" s="27" t="s">
        <v>71</v>
      </c>
      <c r="B2" s="27"/>
      <c r="C2" s="27"/>
      <c r="D2" s="27"/>
      <c r="E2" s="27"/>
      <c r="F2" s="27"/>
      <c r="G2" s="27"/>
      <c r="H2" s="27"/>
      <c r="I2" s="27"/>
      <c r="J2" s="27"/>
    </row>
    <row r="4" customFormat="false" ht="15" hidden="false" customHeight="true" outlineLevel="0" collapsed="false">
      <c r="B4" s="28" t="s">
        <v>72</v>
      </c>
      <c r="C4" s="29" t="s">
        <v>73</v>
      </c>
      <c r="D4" s="29" t="s">
        <v>74</v>
      </c>
      <c r="E4" s="29" t="s">
        <v>75</v>
      </c>
      <c r="F4" s="29" t="s">
        <v>76</v>
      </c>
      <c r="G4" s="29" t="s">
        <v>77</v>
      </c>
      <c r="H4" s="29" t="s">
        <v>78</v>
      </c>
      <c r="I4" s="28" t="s">
        <v>79</v>
      </c>
      <c r="J4" s="28" t="s">
        <v>6</v>
      </c>
    </row>
    <row r="5" customFormat="false" ht="16.5" hidden="false" customHeight="true" outlineLevel="0" collapsed="false">
      <c r="B5" s="30" t="s">
        <v>80</v>
      </c>
      <c r="C5" s="30"/>
      <c r="D5" s="30"/>
      <c r="E5" s="30"/>
      <c r="F5" s="30"/>
      <c r="G5" s="30"/>
      <c r="H5" s="30"/>
      <c r="I5" s="30"/>
      <c r="J5" s="30"/>
    </row>
    <row r="6" customFormat="false" ht="15" hidden="false" customHeight="true" outlineLevel="0" collapsed="false">
      <c r="B6" s="8" t="s">
        <v>81</v>
      </c>
      <c r="C6" s="31" t="n">
        <f aca="false">'① 가정'!B17</f>
        <v>50</v>
      </c>
      <c r="D6" s="32" t="n">
        <f aca="false">C6*(1-'① 가정'!B10)+'① 가정'!B9*C6+'① 가정'!B18</f>
        <v>77.5</v>
      </c>
      <c r="E6" s="32" t="n">
        <f aca="false">D6*(1-'① 가정'!B10)+'① 가정'!B9*D6+'① 가정'!B19</f>
        <v>93.625</v>
      </c>
      <c r="F6" s="32" t="n">
        <f aca="false">E6*(1-'① 가정'!B10)+'① 가정'!B9*E6</f>
        <v>88.94375</v>
      </c>
      <c r="G6" s="32" t="n">
        <f aca="false">F6*(1-'① 가정'!B10)+'① 가정'!B9*F6</f>
        <v>84.4965625</v>
      </c>
      <c r="H6" s="32" t="n">
        <f aca="false">G6</f>
        <v>84.4965625</v>
      </c>
      <c r="I6" s="16" t="s">
        <v>82</v>
      </c>
      <c r="J6" s="10" t="s">
        <v>83</v>
      </c>
    </row>
    <row r="7" customFormat="false" ht="15" hidden="false" customHeight="true" outlineLevel="0" collapsed="false">
      <c r="B7" s="8" t="s">
        <v>84</v>
      </c>
      <c r="C7" s="32" t="n">
        <f aca="false">ROUND(C6*'① 가정'!B11,0)</f>
        <v>33</v>
      </c>
      <c r="D7" s="32" t="n">
        <f aca="false">ROUND(D6*'① 가정'!B11,0)</f>
        <v>50</v>
      </c>
      <c r="E7" s="32" t="n">
        <f aca="false">ROUND(E6*'① 가정'!B11,0)</f>
        <v>61</v>
      </c>
      <c r="F7" s="32" t="n">
        <f aca="false">ROUND(F6*'① 가정'!B11,0)</f>
        <v>58</v>
      </c>
      <c r="G7" s="32" t="n">
        <f aca="false">ROUND(G6*'① 가정'!B11,0)</f>
        <v>55</v>
      </c>
      <c r="H7" s="32" t="n">
        <f aca="false">G7</f>
        <v>55</v>
      </c>
      <c r="I7" s="16" t="s">
        <v>82</v>
      </c>
      <c r="J7" s="16" t="s">
        <v>85</v>
      </c>
    </row>
    <row r="8" customFormat="false" ht="15" hidden="false" customHeight="true" outlineLevel="0" collapsed="false">
      <c r="B8" s="8" t="s">
        <v>86</v>
      </c>
      <c r="C8" s="32" t="n">
        <f aca="false">ROUND(C7*0.2,0)</f>
        <v>7</v>
      </c>
      <c r="D8" s="32" t="n">
        <f aca="false">ROUND(D7*0.2,0)</f>
        <v>10</v>
      </c>
      <c r="E8" s="32" t="n">
        <f aca="false">ROUND(E7*0.2,0)</f>
        <v>12</v>
      </c>
      <c r="F8" s="32" t="n">
        <f aca="false">ROUND(F7*0.2,0)</f>
        <v>12</v>
      </c>
      <c r="G8" s="32" t="n">
        <f aca="false">ROUND(G7*0.2,0)</f>
        <v>11</v>
      </c>
      <c r="H8" s="32" t="n">
        <f aca="false">G8</f>
        <v>11</v>
      </c>
      <c r="I8" s="16" t="s">
        <v>82</v>
      </c>
      <c r="J8" s="16" t="s">
        <v>87</v>
      </c>
    </row>
    <row r="10" customFormat="false" ht="16.5" hidden="false" customHeight="true" outlineLevel="0" collapsed="false">
      <c r="B10" s="5" t="s">
        <v>88</v>
      </c>
      <c r="C10" s="5"/>
      <c r="D10" s="5"/>
      <c r="E10" s="5"/>
      <c r="F10" s="5"/>
      <c r="G10" s="5"/>
      <c r="H10" s="5"/>
      <c r="I10" s="5"/>
      <c r="J10" s="5"/>
    </row>
    <row r="11" customFormat="false" ht="15" hidden="false" customHeight="true" outlineLevel="0" collapsed="false">
      <c r="B11" s="17" t="s">
        <v>89</v>
      </c>
      <c r="C11" s="9" t="n">
        <v>20</v>
      </c>
      <c r="D11" s="9" t="n">
        <v>20</v>
      </c>
      <c r="E11" s="9" t="n">
        <v>20</v>
      </c>
      <c r="F11" s="9" t="n">
        <v>20</v>
      </c>
      <c r="G11" s="9" t="n">
        <v>20</v>
      </c>
      <c r="I11" s="16" t="s">
        <v>90</v>
      </c>
      <c r="J11" s="16" t="s">
        <v>91</v>
      </c>
    </row>
    <row r="12" customFormat="false" ht="15" hidden="false" customHeight="true" outlineLevel="0" collapsed="false">
      <c r="B12" s="17" t="s">
        <v>92</v>
      </c>
      <c r="C12" s="9" t="n">
        <v>5</v>
      </c>
      <c r="D12" s="9" t="n">
        <v>5</v>
      </c>
      <c r="E12" s="9" t="n">
        <v>5</v>
      </c>
      <c r="F12" s="9" t="n">
        <v>5</v>
      </c>
      <c r="G12" s="9" t="n">
        <v>5</v>
      </c>
      <c r="I12" s="16" t="s">
        <v>90</v>
      </c>
      <c r="J12" s="16" t="s">
        <v>93</v>
      </c>
    </row>
    <row r="13" customFormat="false" ht="15" hidden="false" customHeight="true" outlineLevel="0" collapsed="false">
      <c r="B13" s="17" t="s">
        <v>94</v>
      </c>
      <c r="C13" s="9" t="n">
        <v>1</v>
      </c>
      <c r="D13" s="9" t="n">
        <v>1</v>
      </c>
      <c r="E13" s="9" t="n">
        <v>1</v>
      </c>
      <c r="F13" s="9" t="n">
        <v>1</v>
      </c>
      <c r="G13" s="9" t="n">
        <v>1</v>
      </c>
      <c r="I13" s="16" t="s">
        <v>90</v>
      </c>
      <c r="J13" s="16" t="s">
        <v>95</v>
      </c>
    </row>
    <row r="14" customFormat="false" ht="15" hidden="false" customHeight="true" outlineLevel="0" collapsed="false">
      <c r="B14" s="8" t="s">
        <v>96</v>
      </c>
      <c r="C14" s="32" t="n">
        <f aca="false">ROUND(C8*C11+(C7-C8)*0.75*C12+(C7-C8)*0.25*C13,0)</f>
        <v>244</v>
      </c>
      <c r="D14" s="32" t="n">
        <f aca="false">ROUND(D8*D11+(D7-D8)*0.75*D12+(D7-D8)*0.25*D13,0)</f>
        <v>360</v>
      </c>
      <c r="E14" s="32" t="n">
        <f aca="false">ROUND(E8*E11+(E7-E8)*0.75*E12+(E7-E8)*0.25*E13,0)</f>
        <v>436</v>
      </c>
      <c r="F14" s="32" t="n">
        <f aca="false">ROUND(F8*F11+(F7-F8)*0.75*F12+(F7-F8)*0.25*F13,0)</f>
        <v>424</v>
      </c>
      <c r="G14" s="32" t="n">
        <f aca="false">ROUND(G8*G11+(G7-G8)*0.75*G12+(G7-G8)*0.25*G13,0)</f>
        <v>396</v>
      </c>
      <c r="H14" s="32" t="n">
        <f aca="false">SUM(C14:G14)</f>
        <v>1860</v>
      </c>
      <c r="I14" s="16" t="s">
        <v>97</v>
      </c>
      <c r="J14" s="16" t="s">
        <v>98</v>
      </c>
    </row>
    <row r="15" customFormat="false" ht="15" hidden="false" customHeight="true" outlineLevel="0" collapsed="false">
      <c r="B15" s="8" t="s">
        <v>99</v>
      </c>
      <c r="C15" s="32" t="n">
        <f aca="false">C14*12</f>
        <v>2928</v>
      </c>
      <c r="D15" s="32" t="n">
        <f aca="false">D14*12</f>
        <v>4320</v>
      </c>
      <c r="E15" s="32" t="n">
        <f aca="false">E14*12</f>
        <v>5232</v>
      </c>
      <c r="F15" s="32" t="n">
        <f aca="false">F14*12</f>
        <v>5088</v>
      </c>
      <c r="G15" s="32" t="n">
        <f aca="false">G14*12</f>
        <v>4752</v>
      </c>
      <c r="H15" s="32" t="n">
        <f aca="false">SUM(C15:G15)</f>
        <v>22320</v>
      </c>
      <c r="I15" s="16" t="s">
        <v>100</v>
      </c>
    </row>
    <row r="17" customFormat="false" ht="16.5" hidden="false" customHeight="true" outlineLevel="0" collapsed="false">
      <c r="B17" s="5" t="s">
        <v>101</v>
      </c>
      <c r="C17" s="5"/>
      <c r="D17" s="5"/>
      <c r="E17" s="5"/>
      <c r="F17" s="5"/>
      <c r="G17" s="5"/>
      <c r="H17" s="5"/>
      <c r="I17" s="5"/>
      <c r="J17" s="5"/>
    </row>
    <row r="18" customFormat="false" ht="15" hidden="false" customHeight="true" outlineLevel="0" collapsed="false">
      <c r="B18" s="11" t="s">
        <v>102</v>
      </c>
      <c r="C18" s="32" t="n">
        <f aca="false">ROUND(C15*'① 가정'!F15,0)</f>
        <v>703</v>
      </c>
      <c r="D18" s="32" t="n">
        <f aca="false">ROUND(D15*'① 가정'!F15,0)</f>
        <v>1037</v>
      </c>
      <c r="E18" s="32" t="n">
        <f aca="false">ROUND(E15*'① 가정'!F15,0)</f>
        <v>1256</v>
      </c>
      <c r="F18" s="32" t="n">
        <f aca="false">ROUND(F15*'① 가정'!F15,0)</f>
        <v>1221</v>
      </c>
      <c r="G18" s="32" t="n">
        <f aca="false">ROUND(G15*'① 가정'!F15,0)</f>
        <v>1140</v>
      </c>
      <c r="H18" s="32" t="n">
        <f aca="false">SUM(C18:G18)</f>
        <v>5357</v>
      </c>
      <c r="I18" s="16" t="s">
        <v>100</v>
      </c>
    </row>
    <row r="19" customFormat="false" ht="15" hidden="false" customHeight="true" outlineLevel="0" collapsed="false">
      <c r="B19" s="11" t="s">
        <v>103</v>
      </c>
      <c r="C19" s="32" t="n">
        <f aca="false">ROUND(C15*'① 가정'!F16,0)</f>
        <v>293</v>
      </c>
      <c r="D19" s="32" t="n">
        <f aca="false">ROUND(D15*'① 가정'!F16,0)</f>
        <v>432</v>
      </c>
      <c r="E19" s="32" t="n">
        <f aca="false">ROUND(E15*'① 가정'!F16,0)</f>
        <v>523</v>
      </c>
      <c r="F19" s="32" t="n">
        <f aca="false">ROUND(F15*'① 가정'!F16,0)</f>
        <v>509</v>
      </c>
      <c r="G19" s="32" t="n">
        <f aca="false">ROUND(G15*'① 가정'!F16,0)</f>
        <v>475</v>
      </c>
      <c r="H19" s="32" t="n">
        <f aca="false">SUM(C19:G19)</f>
        <v>2232</v>
      </c>
      <c r="I19" s="16" t="s">
        <v>100</v>
      </c>
    </row>
    <row r="20" customFormat="false" ht="15" hidden="false" customHeight="true" outlineLevel="0" collapsed="false">
      <c r="B20" s="17" t="s">
        <v>104</v>
      </c>
      <c r="C20" s="32" t="n">
        <f aca="false">ROUND(C15*'① 가정'!F17,0)</f>
        <v>439</v>
      </c>
      <c r="D20" s="32" t="n">
        <f aca="false">ROUND(D15*'① 가정'!F17,0)</f>
        <v>648</v>
      </c>
      <c r="E20" s="32" t="n">
        <f aca="false">ROUND(E15*'① 가정'!F17,0)</f>
        <v>785</v>
      </c>
      <c r="F20" s="32" t="n">
        <f aca="false">ROUND(F15*'① 가정'!F17,0)</f>
        <v>763</v>
      </c>
      <c r="G20" s="32" t="n">
        <f aca="false">ROUND(G15*'① 가정'!F17,0)</f>
        <v>713</v>
      </c>
      <c r="H20" s="32" t="n">
        <f aca="false">SUM(C20:G20)</f>
        <v>3348</v>
      </c>
      <c r="I20" s="16" t="s">
        <v>100</v>
      </c>
    </row>
    <row r="21" customFormat="false" ht="15" hidden="false" customHeight="true" outlineLevel="0" collapsed="false">
      <c r="B21" s="8" t="s">
        <v>105</v>
      </c>
      <c r="C21" s="32" t="n">
        <f aca="false">ROUND(C15*'① 가정'!F6*(1+'① 가정'!B12)^0*(1-'① 가정'!B7)*(1-'① 가정'!G6)*'① 가정'!B6,0)</f>
        <v>14182576</v>
      </c>
      <c r="D21" s="32" t="n">
        <f aca="false">ROUND(D15*'① 가정'!F6*(1+'① 가정'!B12)^1*(1-'① 가정'!B7)*(1-'① 가정'!G6)*'① 가정'!B6,0)</f>
        <v>21971368</v>
      </c>
      <c r="E21" s="32" t="n">
        <f aca="false">ROUND(E15*'① 가정'!F6*(1+'① 가정'!B12)^2*(1-'① 가정'!B7)*(1-'① 가정'!G6)*'① 가정'!B6,0)</f>
        <v>27940256</v>
      </c>
      <c r="F21" s="32" t="n">
        <f aca="false">ROUND(F15*'① 가정'!F6*(1+'① 가정'!B12)^3*(1-'① 가정'!B7)*(1-'① 가정'!G6)*'① 가정'!B6,0)</f>
        <v>28529821</v>
      </c>
      <c r="G21" s="32" t="n">
        <f aca="false">ROUND(G15*'① 가정'!F6*(1+'① 가정'!B12)^4*(1-'① 가정'!B7)*(1-'① 가정'!G6)*'① 가정'!B6,0)</f>
        <v>27978065</v>
      </c>
      <c r="H21" s="32" t="n">
        <f aca="false">SUM(C21:G21)</f>
        <v>120602086</v>
      </c>
      <c r="I21" s="10" t="s">
        <v>106</v>
      </c>
    </row>
    <row r="22" customFormat="false" ht="15" hidden="false" customHeight="true" outlineLevel="0" collapsed="false">
      <c r="B22" s="8" t="s">
        <v>107</v>
      </c>
      <c r="C22" s="32" t="n">
        <f aca="false">ROUND(C18*'① 가정'!F7*(1+'① 가정'!B12)^0*(1-'① 가정'!B7)*(1-'① 가정'!G7)*'① 가정'!B6,0)</f>
        <v>8823304</v>
      </c>
      <c r="D22" s="32" t="n">
        <f aca="false">ROUND(D18*'① 가정'!F7*(1+'① 가정'!B12)^1*(1-'① 가정'!B7)*(1-'① 가정'!G7)*'① 가정'!B6,0)</f>
        <v>13666080</v>
      </c>
      <c r="E22" s="32" t="n">
        <f aca="false">ROUND(E18*'① 가정'!F7*(1+'① 가정'!B12)^2*(1-'① 가정'!B7)*(1-'① 가정'!G7)*'① 가정'!B6,0)</f>
        <v>17379775</v>
      </c>
      <c r="F22" s="32" t="n">
        <f aca="false">ROUND(F18*'① 가정'!F7*(1+'① 가정'!B12)^3*(1-'① 가정'!B7)*(1-'① 가정'!G7)*'① 가정'!B6,0)</f>
        <v>17740239</v>
      </c>
      <c r="G22" s="32" t="n">
        <f aca="false">ROUND(G18*'① 가정'!F7*(1+'① 가정'!B12)^4*(1-'① 가정'!B7)*(1-'① 가정'!G7)*'① 가정'!B6,0)</f>
        <v>17391537</v>
      </c>
      <c r="H22" s="32" t="n">
        <f aca="false">SUM(C22:G22)</f>
        <v>75000935</v>
      </c>
      <c r="I22" s="10" t="s">
        <v>106</v>
      </c>
    </row>
    <row r="23" customFormat="false" ht="15" hidden="false" customHeight="true" outlineLevel="0" collapsed="false">
      <c r="B23" s="8" t="s">
        <v>108</v>
      </c>
      <c r="C23" s="32" t="n">
        <f aca="false">ROUND(C19*'① 가정'!F8*(1+'① 가정'!B12)^0*(1-'① 가정'!B7)*(1-'① 가정'!G8)*'① 가정'!B6,0)</f>
        <v>6408694</v>
      </c>
      <c r="D23" s="32" t="n">
        <f aca="false">ROUND(D19*'① 가정'!F8*(1+'① 가정'!B12)^1*(1-'① 가정'!B7)*(1-'① 가정'!G8)*'① 가정'!B6,0)</f>
        <v>9921446</v>
      </c>
      <c r="E23" s="32" t="n">
        <f aca="false">ROUND(E19*'① 가정'!F8*(1+'① 가정'!B12)^2*(1-'① 가정'!B7)*(1-'① 가정'!G8)*'① 가정'!B6,0)</f>
        <v>12611949</v>
      </c>
      <c r="F23" s="32" t="n">
        <f aca="false">ROUND(F19*'① 가정'!F8*(1+'① 가정'!B12)^3*(1-'① 가정'!B7)*(1-'① 가정'!G8)*'① 가정'!B6,0)</f>
        <v>12888061</v>
      </c>
      <c r="G23" s="32" t="n">
        <f aca="false">ROUND(G19*'① 가정'!F8*(1+'① 가정'!B12)^4*(1-'① 가정'!B7)*(1-'① 가정'!G8)*'① 가정'!B6,0)</f>
        <v>12628528</v>
      </c>
      <c r="H23" s="32" t="n">
        <f aca="false">SUM(C23:G23)</f>
        <v>54458678</v>
      </c>
      <c r="I23" s="10" t="s">
        <v>106</v>
      </c>
    </row>
    <row r="24" customFormat="false" ht="15" hidden="false" customHeight="true" outlineLevel="0" collapsed="false">
      <c r="B24" s="8" t="s">
        <v>109</v>
      </c>
      <c r="C24" s="32" t="n">
        <f aca="false">ROUND(C20*'① 가정'!F9*(1+'① 가정'!B12)^0*(1-'① 가정'!B7)*(1-'① 가정'!G9)*'① 가정'!B6,0)</f>
        <v>2192868</v>
      </c>
      <c r="D24" s="32" t="n">
        <f aca="false">ROUND(D20*'① 가정'!F9*(1+'① 가정'!B12)^1*(1-'① 가정'!B7)*(1-'① 가정'!G9)*'① 가정'!B6,0)</f>
        <v>3398696</v>
      </c>
      <c r="E24" s="32" t="n">
        <f aca="false">ROUND(E20*'① 가정'!F9*(1+'① 가정'!B12)^2*(1-'① 가정'!B7)*(1-'① 가정'!G9)*'① 가정'!B6,0)</f>
        <v>4323110</v>
      </c>
      <c r="F24" s="32" t="n">
        <f aca="false">ROUND(F20*'① 가정'!F9*(1+'① 가정'!B12)^3*(1-'① 가정'!B7)*(1-'① 가정'!G9)*'① 가정'!B6,0)</f>
        <v>4412050</v>
      </c>
      <c r="G24" s="32" t="n">
        <f aca="false">ROUND(G20*'① 가정'!F9*(1+'① 가정'!B12)^4*(1-'① 가정'!B7)*(1-'① 가정'!G9)*'① 가정'!B6,0)</f>
        <v>4329071</v>
      </c>
      <c r="H24" s="32" t="n">
        <f aca="false">SUM(C24:G24)</f>
        <v>18655795</v>
      </c>
      <c r="I24" s="10" t="s">
        <v>106</v>
      </c>
    </row>
    <row r="25" customFormat="false" ht="15" hidden="false" customHeight="true" outlineLevel="0" collapsed="false">
      <c r="B25" s="33" t="s">
        <v>110</v>
      </c>
      <c r="C25" s="34" t="n">
        <f aca="false">C21+C22+C23+C24</f>
        <v>31607442</v>
      </c>
      <c r="D25" s="34" t="n">
        <f aca="false">D21+D22+D23+D24</f>
        <v>48957590</v>
      </c>
      <c r="E25" s="34" t="n">
        <f aca="false">E21+E22+E23+E24</f>
        <v>62255090</v>
      </c>
      <c r="F25" s="34" t="n">
        <f aca="false">F21+F22+F23+F24</f>
        <v>63570171</v>
      </c>
      <c r="G25" s="34" t="n">
        <f aca="false">G21+G22+G23+G24</f>
        <v>62327201</v>
      </c>
      <c r="H25" s="34" t="n">
        <f aca="false">SUM(C25:G25)</f>
        <v>268717494</v>
      </c>
      <c r="I25" s="10" t="s">
        <v>106</v>
      </c>
    </row>
  </sheetData>
  <mergeCells count="5">
    <mergeCell ref="A1:J1"/>
    <mergeCell ref="A2:J2"/>
    <mergeCell ref="B5:J5"/>
    <mergeCell ref="B10:J10"/>
    <mergeCell ref="B17:J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10" min="3" style="1" width="14"/>
  </cols>
  <sheetData>
    <row r="1" customFormat="false" ht="34.5" hidden="false" customHeight="true" outlineLevel="0" collapsed="false">
      <c r="A1" s="35" t="s">
        <v>111</v>
      </c>
      <c r="B1" s="35"/>
      <c r="C1" s="35"/>
      <c r="D1" s="35"/>
      <c r="E1" s="35"/>
      <c r="F1" s="35"/>
      <c r="G1" s="35"/>
      <c r="H1" s="35"/>
      <c r="I1" s="35"/>
      <c r="J1" s="35"/>
    </row>
    <row r="2" customFormat="false" ht="15" hidden="false" customHeight="true" outlineLevel="0" collapsed="false">
      <c r="A2" s="36" t="s">
        <v>112</v>
      </c>
      <c r="B2" s="36"/>
      <c r="C2" s="36"/>
      <c r="D2" s="36"/>
      <c r="E2" s="36"/>
      <c r="F2" s="36"/>
      <c r="G2" s="36"/>
      <c r="H2" s="36"/>
      <c r="I2" s="36"/>
      <c r="J2" s="36"/>
    </row>
    <row r="4" customFormat="false" ht="15" hidden="false" customHeight="true" outlineLevel="0" collapsed="false">
      <c r="B4" s="37" t="s">
        <v>72</v>
      </c>
      <c r="C4" s="38" t="s">
        <v>73</v>
      </c>
      <c r="D4" s="38" t="s">
        <v>74</v>
      </c>
      <c r="E4" s="38" t="s">
        <v>75</v>
      </c>
      <c r="F4" s="38" t="s">
        <v>76</v>
      </c>
      <c r="G4" s="38" t="s">
        <v>77</v>
      </c>
      <c r="H4" s="38" t="s">
        <v>78</v>
      </c>
      <c r="I4" s="37" t="s">
        <v>79</v>
      </c>
      <c r="J4" s="37" t="s">
        <v>6</v>
      </c>
    </row>
    <row r="5" customFormat="false" ht="16.5" hidden="false" customHeight="true" outlineLevel="0" collapsed="false">
      <c r="B5" s="30" t="s">
        <v>113</v>
      </c>
      <c r="C5" s="30"/>
      <c r="D5" s="30"/>
      <c r="E5" s="30"/>
      <c r="F5" s="30"/>
      <c r="G5" s="30"/>
      <c r="H5" s="30"/>
      <c r="I5" s="30"/>
      <c r="J5" s="30"/>
    </row>
    <row r="6" customFormat="false" ht="15" hidden="false" customHeight="true" outlineLevel="0" collapsed="false">
      <c r="B6" s="20" t="s">
        <v>114</v>
      </c>
      <c r="C6" s="31" t="n">
        <f aca="false">'② SOLO'!C15</f>
        <v>2928</v>
      </c>
      <c r="D6" s="31" t="n">
        <f aca="false">'② SOLO'!D15</f>
        <v>4320</v>
      </c>
      <c r="E6" s="31" t="n">
        <f aca="false">'② SOLO'!E15</f>
        <v>5232</v>
      </c>
      <c r="F6" s="31" t="n">
        <f aca="false">'② SOLO'!F15</f>
        <v>5088</v>
      </c>
      <c r="G6" s="31" t="n">
        <f aca="false">'② SOLO'!G15</f>
        <v>4752</v>
      </c>
      <c r="H6" s="31" t="n">
        <f aca="false">SUM(C6:G6)</f>
        <v>22320</v>
      </c>
      <c r="I6" s="16" t="s">
        <v>115</v>
      </c>
    </row>
    <row r="7" customFormat="false" ht="15" hidden="false" customHeight="true" outlineLevel="0" collapsed="false">
      <c r="B7" s="20" t="s">
        <v>116</v>
      </c>
      <c r="C7" s="32" t="n">
        <f aca="false">ROUND(C6*'① 가정'!F23,0)</f>
        <v>586</v>
      </c>
      <c r="D7" s="32" t="n">
        <f aca="false">ROUND(D6*'① 가정'!F23,0)</f>
        <v>864</v>
      </c>
      <c r="E7" s="32" t="n">
        <f aca="false">ROUND(E6*'① 가정'!F23,0)</f>
        <v>1046</v>
      </c>
      <c r="F7" s="32" t="n">
        <f aca="false">ROUND(F6*'① 가정'!F23,0)</f>
        <v>1018</v>
      </c>
      <c r="G7" s="32" t="n">
        <f aca="false">ROUND(G6*'① 가정'!F23,0)</f>
        <v>950</v>
      </c>
      <c r="H7" s="32" t="n">
        <f aca="false">SUM(C7:G7)</f>
        <v>4464</v>
      </c>
      <c r="I7" s="16" t="s">
        <v>115</v>
      </c>
    </row>
    <row r="8" customFormat="false" ht="15" hidden="false" customHeight="true" outlineLevel="0" collapsed="false">
      <c r="B8" s="20" t="s">
        <v>117</v>
      </c>
      <c r="C8" s="32" t="n">
        <f aca="false">ROUND(C7*(1+'① 가정'!B9*2)^1,0)</f>
        <v>762</v>
      </c>
      <c r="D8" s="32" t="n">
        <f aca="false">ROUND(D7*(1+'① 가정'!B9*2)^2,0)</f>
        <v>1460</v>
      </c>
      <c r="E8" s="32" t="n">
        <f aca="false">ROUND(E7*(1+'① 가정'!B9*2)^3,0)</f>
        <v>2298</v>
      </c>
      <c r="F8" s="32" t="n">
        <f aca="false">ROUND(F7*(1+'① 가정'!B9*2)^4,0)</f>
        <v>2908</v>
      </c>
      <c r="G8" s="32" t="n">
        <f aca="false">ROUND(G7*(1+'① 가정'!B9*2)^5,0)</f>
        <v>3527</v>
      </c>
      <c r="H8" s="32" t="n">
        <f aca="false">SUM(C8:G8)</f>
        <v>10955</v>
      </c>
      <c r="I8" s="16" t="s">
        <v>115</v>
      </c>
      <c r="J8" s="16" t="s">
        <v>118</v>
      </c>
    </row>
    <row r="9" customFormat="false" ht="15" hidden="false" customHeight="true" outlineLevel="0" collapsed="false">
      <c r="B9" s="8" t="s">
        <v>119</v>
      </c>
      <c r="C9" s="32" t="n">
        <f aca="false">C7+C8</f>
        <v>1348</v>
      </c>
      <c r="D9" s="32" t="n">
        <f aca="false">D7+D8</f>
        <v>2324</v>
      </c>
      <c r="E9" s="32" t="n">
        <f aca="false">E7+E8</f>
        <v>3344</v>
      </c>
      <c r="F9" s="32" t="n">
        <f aca="false">F7+F8</f>
        <v>3926</v>
      </c>
      <c r="G9" s="32" t="n">
        <f aca="false">G7+G8</f>
        <v>4477</v>
      </c>
      <c r="H9" s="32" t="n">
        <f aca="false">SUM(C9:G9)</f>
        <v>15419</v>
      </c>
      <c r="I9" s="16" t="s">
        <v>115</v>
      </c>
    </row>
    <row r="11" customFormat="false" ht="16.5" hidden="false" customHeight="true" outlineLevel="0" collapsed="false">
      <c r="B11" s="19" t="s">
        <v>120</v>
      </c>
      <c r="C11" s="19"/>
      <c r="D11" s="19"/>
      <c r="E11" s="19"/>
      <c r="F11" s="19"/>
      <c r="G11" s="19"/>
      <c r="H11" s="19"/>
      <c r="I11" s="19"/>
      <c r="J11" s="19"/>
    </row>
    <row r="12" customFormat="false" ht="15" hidden="false" customHeight="true" outlineLevel="0" collapsed="false">
      <c r="B12" s="39" t="s">
        <v>121</v>
      </c>
      <c r="C12" s="32" t="n">
        <f aca="false">ROUND(C9*0.7*'① 가정'!F21*(1+'① 가정'!B12)^0*(1-'① 가정'!B7)*(1-'① 가정'!G21)*'① 가정'!B6,0)</f>
        <v>7093932</v>
      </c>
      <c r="D12" s="32" t="n">
        <f aca="false">ROUND(D9*0.7*'① 가정'!F21*(1+'① 가정'!B12)^1*(1-'① 가정'!B7)*(1-'① 가정'!G21)*'① 가정'!B6,0)</f>
        <v>12841701</v>
      </c>
      <c r="E12" s="32" t="n">
        <f aca="false">ROUND(E9*0.7*'① 가정'!F21*(1+'① 가정'!B12)^2*(1-'① 가정'!B7)*(1-'① 가정'!G21)*'① 가정'!B6,0)</f>
        <v>19401799</v>
      </c>
      <c r="F12" s="32" t="n">
        <f aca="false">ROUND(F9*0.7*'① 가정'!F21*(1+'① 가정'!B12)^3*(1-'① 가정'!B7)*(1-'① 가정'!G21)*'① 가정'!B6,0)</f>
        <v>23917474</v>
      </c>
      <c r="G12" s="32" t="n">
        <f aca="false">ROUND(G9*0.7*'① 가정'!F21*(1+'① 가정'!B12)^4*(1-'① 가정'!B7)*(1-'① 가정'!G21)*'① 가정'!B6,0)</f>
        <v>28637916</v>
      </c>
      <c r="H12" s="32" t="n">
        <f aca="false">SUM(C12:G12)</f>
        <v>91892822</v>
      </c>
      <c r="I12" s="10" t="s">
        <v>106</v>
      </c>
    </row>
    <row r="13" customFormat="false" ht="15" hidden="false" customHeight="true" outlineLevel="0" collapsed="false">
      <c r="B13" s="39" t="s">
        <v>122</v>
      </c>
      <c r="C13" s="32" t="n">
        <f aca="false">ROUND(C9*0.3*'① 가정'!F22*(1+'① 가정'!B12)^0*(1-'① 가정'!B7)*(1-'① 가정'!G22)*'① 가정'!B6,0)</f>
        <v>6350871</v>
      </c>
      <c r="D13" s="32" t="n">
        <f aca="false">ROUND(D9*0.3*'① 가정'!F22*(1+'① 가정'!B12)^1*(1-'① 가정'!B7)*(1-'① 가정'!G22)*'① 가정'!B6,0)</f>
        <v>11496585</v>
      </c>
      <c r="E13" s="32" t="n">
        <f aca="false">ROUND(E9*0.3*'① 가정'!F22*(1+'① 가정'!B12)^2*(1-'① 가정'!B7)*(1-'① 가정'!G22)*'① 가정'!B6,0)</f>
        <v>17369539</v>
      </c>
      <c r="F13" s="32" t="n">
        <f aca="false">ROUND(F9*0.3*'① 가정'!F22*(1+'① 가정'!B12)^3*(1-'① 가정'!B7)*(1-'① 가정'!G22)*'① 가정'!B6,0)</f>
        <v>21412216</v>
      </c>
      <c r="G13" s="32" t="n">
        <f aca="false">ROUND(G9*0.3*'① 가정'!F22*(1+'① 가정'!B12)^4*(1-'① 가정'!B7)*(1-'① 가정'!G22)*'① 가정'!B6,0)</f>
        <v>25638211</v>
      </c>
      <c r="H13" s="32" t="n">
        <f aca="false">SUM(C13:G13)</f>
        <v>82267422</v>
      </c>
      <c r="I13" s="10" t="s">
        <v>106</v>
      </c>
    </row>
    <row r="14" customFormat="false" ht="15" hidden="false" customHeight="true" outlineLevel="0" collapsed="false">
      <c r="B14" s="40" t="s">
        <v>123</v>
      </c>
      <c r="C14" s="34" t="n">
        <f aca="false">C12+C13</f>
        <v>13444803</v>
      </c>
      <c r="D14" s="34" t="n">
        <f aca="false">D12+D13</f>
        <v>24338286</v>
      </c>
      <c r="E14" s="34" t="n">
        <f aca="false">E12+E13</f>
        <v>36771338</v>
      </c>
      <c r="F14" s="34" t="n">
        <f aca="false">F12+F13</f>
        <v>45329690</v>
      </c>
      <c r="G14" s="34" t="n">
        <f aca="false">G12+G13</f>
        <v>54276127</v>
      </c>
      <c r="H14" s="34" t="n">
        <f aca="false">SUM(C14:G14)</f>
        <v>174160244</v>
      </c>
      <c r="I14" s="10" t="s">
        <v>106</v>
      </c>
    </row>
  </sheetData>
  <mergeCells count="4">
    <mergeCell ref="A1:J1"/>
    <mergeCell ref="A2:J2"/>
    <mergeCell ref="B5:J5"/>
    <mergeCell ref="B11:J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10" min="3" style="1" width="14"/>
  </cols>
  <sheetData>
    <row r="1" customFormat="false" ht="34.5" hidden="false" customHeight="true" outlineLevel="0" collapsed="false">
      <c r="A1" s="41" t="s">
        <v>124</v>
      </c>
      <c r="B1" s="41"/>
      <c r="C1" s="41"/>
      <c r="D1" s="41"/>
      <c r="E1" s="41"/>
      <c r="F1" s="41"/>
      <c r="G1" s="41"/>
      <c r="H1" s="41"/>
      <c r="I1" s="41"/>
      <c r="J1" s="41"/>
    </row>
    <row r="2" customFormat="false" ht="15" hidden="false" customHeight="true" outlineLevel="0" collapsed="false">
      <c r="A2" s="42" t="s">
        <v>125</v>
      </c>
      <c r="B2" s="42"/>
      <c r="C2" s="42"/>
      <c r="D2" s="42"/>
      <c r="E2" s="42"/>
      <c r="F2" s="42"/>
      <c r="G2" s="42"/>
      <c r="H2" s="42"/>
      <c r="I2" s="42"/>
      <c r="J2" s="42"/>
    </row>
    <row r="4" customFormat="false" ht="15" hidden="false" customHeight="true" outlineLevel="0" collapsed="false">
      <c r="B4" s="43" t="s">
        <v>72</v>
      </c>
      <c r="C4" s="44" t="s">
        <v>73</v>
      </c>
      <c r="D4" s="44" t="s">
        <v>74</v>
      </c>
      <c r="E4" s="44" t="s">
        <v>75</v>
      </c>
      <c r="F4" s="44" t="s">
        <v>76</v>
      </c>
      <c r="G4" s="44" t="s">
        <v>77</v>
      </c>
      <c r="H4" s="44" t="s">
        <v>78</v>
      </c>
      <c r="I4" s="43" t="s">
        <v>79</v>
      </c>
      <c r="J4" s="43" t="s">
        <v>6</v>
      </c>
    </row>
    <row r="5" customFormat="false" ht="16.5" hidden="false" customHeight="true" outlineLevel="0" collapsed="false">
      <c r="B5" s="30" t="s">
        <v>126</v>
      </c>
      <c r="C5" s="30"/>
      <c r="D5" s="30"/>
      <c r="E5" s="30"/>
      <c r="F5" s="30"/>
      <c r="G5" s="30"/>
      <c r="H5" s="30"/>
      <c r="I5" s="30"/>
      <c r="J5" s="30"/>
    </row>
    <row r="6" customFormat="false" ht="15" hidden="false" customHeight="true" outlineLevel="0" collapsed="false">
      <c r="B6" s="22" t="s">
        <v>127</v>
      </c>
      <c r="C6" s="31" t="n">
        <f aca="false">'② SOLO'!C15</f>
        <v>2928</v>
      </c>
      <c r="D6" s="31" t="n">
        <f aca="false">'② SOLO'!D15</f>
        <v>4320</v>
      </c>
      <c r="E6" s="31" t="n">
        <f aca="false">'② SOLO'!E15</f>
        <v>5232</v>
      </c>
      <c r="F6" s="31" t="n">
        <f aca="false">'② SOLO'!F15</f>
        <v>5088</v>
      </c>
      <c r="G6" s="31" t="n">
        <f aca="false">'② SOLO'!G15</f>
        <v>4752</v>
      </c>
      <c r="H6" s="31" t="n">
        <f aca="false">SUM(C6:G6)</f>
        <v>22320</v>
      </c>
      <c r="I6" s="16" t="s">
        <v>115</v>
      </c>
    </row>
    <row r="7" customFormat="false" ht="15" hidden="false" customHeight="true" outlineLevel="0" collapsed="false">
      <c r="B7" s="22" t="s">
        <v>128</v>
      </c>
      <c r="C7" s="32" t="n">
        <f aca="false">ROUND(C6*0.03,0)</f>
        <v>88</v>
      </c>
      <c r="D7" s="32" t="n">
        <f aca="false">ROUND(D6*0.05,0)</f>
        <v>216</v>
      </c>
      <c r="E7" s="32" t="n">
        <f aca="false">ROUND(E6*0.08,0)</f>
        <v>419</v>
      </c>
      <c r="F7" s="32" t="n">
        <f aca="false">ROUND(F6*0.1,0)</f>
        <v>509</v>
      </c>
      <c r="G7" s="32" t="n">
        <f aca="false">ROUND(G6*0.12,0)</f>
        <v>570</v>
      </c>
      <c r="H7" s="32" t="n">
        <f aca="false">SUM(C7:G7)</f>
        <v>1802</v>
      </c>
      <c r="I7" s="16" t="s">
        <v>129</v>
      </c>
      <c r="J7" s="16" t="s">
        <v>130</v>
      </c>
    </row>
    <row r="9" customFormat="false" ht="16.5" hidden="false" customHeight="true" outlineLevel="0" collapsed="false">
      <c r="B9" s="21" t="s">
        <v>131</v>
      </c>
      <c r="C9" s="21"/>
      <c r="D9" s="21"/>
      <c r="E9" s="21"/>
      <c r="F9" s="21"/>
      <c r="G9" s="21"/>
      <c r="H9" s="21"/>
      <c r="I9" s="21"/>
      <c r="J9" s="21"/>
    </row>
    <row r="10" customFormat="false" ht="15" hidden="false" customHeight="true" outlineLevel="0" collapsed="false">
      <c r="B10" s="45" t="s">
        <v>132</v>
      </c>
      <c r="C10" s="32" t="n">
        <f aca="false">ROUND(C7*0.8*'① 가정'!F27*(1+'① 가정'!B12)^0*(1-'① 가정'!F31)*'① 가정'!B6,0)</f>
        <v>10279808</v>
      </c>
      <c r="D10" s="32" t="n">
        <f aca="false">ROUND(D7*0.8*'① 가정'!F27*(1+'① 가정'!B12)^1*(1-'① 가정'!F31)*'① 가정'!B6,0)</f>
        <v>26493869</v>
      </c>
      <c r="E10" s="32" t="n">
        <f aca="false">ROUND(E7*0.8*'① 가정'!F27*(1+'① 가정'!B12)^2*(1-'① 가정'!F31)*'① 가정'!B6,0)</f>
        <v>53962859</v>
      </c>
      <c r="F10" s="32" t="n">
        <f aca="false">ROUND(F7*0.8*'① 가정'!F27*(1+'① 가정'!B12)^3*(1-'① 가정'!F31)*'① 가정'!B6,0)</f>
        <v>68831623</v>
      </c>
      <c r="G10" s="32" t="n">
        <f aca="false">ROUND(G7*0.8*'① 가정'!F27*(1+'① 가정'!B12)^4*(1-'① 가정'!F31)*'① 가정'!B6,0)</f>
        <v>80934630</v>
      </c>
      <c r="H10" s="32" t="n">
        <f aca="false">SUM(C10:G10)</f>
        <v>240502789</v>
      </c>
      <c r="I10" s="10" t="s">
        <v>106</v>
      </c>
      <c r="J10" s="10" t="s">
        <v>133</v>
      </c>
    </row>
    <row r="11" customFormat="false" ht="15" hidden="false" customHeight="true" outlineLevel="0" collapsed="false">
      <c r="B11" s="45" t="s">
        <v>134</v>
      </c>
      <c r="C11" s="32" t="n">
        <f aca="false">ROUND(C7*0.2*'① 가정'!F28*(1+'① 가정'!B12)^0*(1-'① 가정'!F31)*'① 가정'!B6,0)</f>
        <v>5157152</v>
      </c>
      <c r="D11" s="32" t="n">
        <f aca="false">ROUND(D7*0.2*'① 가정'!F28*(1+'① 가정'!B12)^1*(1-'① 가정'!F31)*'① 가정'!B6,0)</f>
        <v>13291387</v>
      </c>
      <c r="E11" s="32" t="n">
        <f aca="false">ROUND(E7*0.2*'① 가정'!F28*(1+'① 가정'!B12)^2*(1-'① 가정'!F31)*'① 가정'!B6,0)</f>
        <v>27071971</v>
      </c>
      <c r="F11" s="32" t="n">
        <f aca="false">ROUND(F7*0.2*'① 가정'!F28*(1+'① 가정'!B12)^3*(1-'① 가정'!F31)*'① 가정'!B6,0)</f>
        <v>34531301</v>
      </c>
      <c r="G11" s="32" t="n">
        <f aca="false">ROUND(G7*0.2*'① 가정'!F28*(1+'① 가정'!B12)^4*(1-'① 가정'!F31)*'① 가정'!B6,0)</f>
        <v>40603111</v>
      </c>
      <c r="H11" s="32" t="n">
        <f aca="false">SUM(C11:G11)</f>
        <v>120654922</v>
      </c>
      <c r="I11" s="10" t="s">
        <v>106</v>
      </c>
    </row>
    <row r="12" customFormat="false" ht="15" hidden="false" customHeight="true" outlineLevel="0" collapsed="false">
      <c r="B12" s="46" t="s">
        <v>135</v>
      </c>
      <c r="C12" s="34" t="n">
        <f aca="false">C10+C11</f>
        <v>15436960</v>
      </c>
      <c r="D12" s="34" t="n">
        <f aca="false">D10+D11</f>
        <v>39785256</v>
      </c>
      <c r="E12" s="34" t="n">
        <f aca="false">E10+E11</f>
        <v>81034830</v>
      </c>
      <c r="F12" s="34" t="n">
        <f aca="false">F10+F11</f>
        <v>103362924</v>
      </c>
      <c r="G12" s="34" t="n">
        <f aca="false">G10+G11</f>
        <v>121537741</v>
      </c>
      <c r="H12" s="34" t="n">
        <f aca="false">SUM(C12:G12)</f>
        <v>361157711</v>
      </c>
      <c r="I12" s="10" t="s">
        <v>106</v>
      </c>
    </row>
  </sheetData>
  <mergeCells count="4">
    <mergeCell ref="A1:J1"/>
    <mergeCell ref="A2:J2"/>
    <mergeCell ref="B5:J5"/>
    <mergeCell ref="B9:J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7" min="3" style="1" width="16"/>
    <col collapsed="false" customWidth="true" hidden="false" outlineLevel="0" max="8" min="8" style="1" width="18"/>
    <col collapsed="false" customWidth="true" hidden="false" outlineLevel="0" max="9" min="9" style="1" width="14"/>
  </cols>
  <sheetData>
    <row r="1" customFormat="false" ht="45" hidden="false" customHeight="true" outlineLevel="0" collapsed="false">
      <c r="A1" s="47" t="s">
        <v>136</v>
      </c>
      <c r="B1" s="47"/>
      <c r="C1" s="47"/>
      <c r="D1" s="47"/>
      <c r="E1" s="47"/>
      <c r="F1" s="47"/>
      <c r="G1" s="47"/>
      <c r="H1" s="47"/>
      <c r="I1" s="47"/>
    </row>
    <row r="2" customFormat="false" ht="15" hidden="false" customHeight="true" outlineLevel="0" collapsed="false">
      <c r="A2" s="3" t="s">
        <v>137</v>
      </c>
      <c r="B2" s="3"/>
      <c r="C2" s="3"/>
      <c r="D2" s="3"/>
      <c r="E2" s="3"/>
      <c r="F2" s="3"/>
      <c r="G2" s="3"/>
      <c r="H2" s="3"/>
      <c r="I2" s="3"/>
    </row>
    <row r="4" customFormat="false" ht="15" hidden="false" customHeight="true" outlineLevel="0" collapsed="false">
      <c r="A4" s="48" t="s">
        <v>138</v>
      </c>
      <c r="B4" s="48"/>
      <c r="C4" s="48"/>
      <c r="D4" s="48"/>
      <c r="E4" s="48"/>
      <c r="F4" s="48"/>
      <c r="G4" s="48"/>
      <c r="H4" s="48"/>
      <c r="I4" s="48"/>
    </row>
    <row r="6" customFormat="false" ht="16.5" hidden="false" customHeight="true" outlineLevel="0" collapsed="false">
      <c r="B6" s="49" t="s">
        <v>72</v>
      </c>
      <c r="C6" s="50" t="s">
        <v>73</v>
      </c>
      <c r="D6" s="50" t="s">
        <v>74</v>
      </c>
      <c r="E6" s="50" t="s">
        <v>75</v>
      </c>
      <c r="F6" s="50" t="s">
        <v>76</v>
      </c>
      <c r="G6" s="50" t="s">
        <v>77</v>
      </c>
      <c r="H6" s="50" t="s">
        <v>139</v>
      </c>
      <c r="I6" s="49" t="s">
        <v>140</v>
      </c>
    </row>
    <row r="7" customFormat="false" ht="16.5" hidden="false" customHeight="true" outlineLevel="0" collapsed="false">
      <c r="B7" s="51" t="s">
        <v>141</v>
      </c>
      <c r="C7" s="51"/>
      <c r="D7" s="51"/>
      <c r="E7" s="51"/>
      <c r="F7" s="51"/>
      <c r="G7" s="51"/>
      <c r="H7" s="51"/>
      <c r="I7" s="51"/>
    </row>
    <row r="8" customFormat="false" ht="30" hidden="false" customHeight="true" outlineLevel="0" collapsed="false">
      <c r="B8" s="52" t="s">
        <v>38</v>
      </c>
      <c r="C8" s="53" t="s">
        <v>142</v>
      </c>
      <c r="D8" s="53" t="s">
        <v>143</v>
      </c>
      <c r="E8" s="53" t="s">
        <v>144</v>
      </c>
      <c r="F8" s="53" t="s">
        <v>145</v>
      </c>
      <c r="G8" s="53" t="s">
        <v>146</v>
      </c>
      <c r="H8" s="16"/>
      <c r="I8" s="16"/>
    </row>
    <row r="10" customFormat="false" ht="16.5" hidden="false" customHeight="true" outlineLevel="0" collapsed="false">
      <c r="B10" s="30" t="s">
        <v>147</v>
      </c>
      <c r="C10" s="30"/>
      <c r="D10" s="30"/>
      <c r="E10" s="30"/>
      <c r="F10" s="30"/>
      <c r="G10" s="30"/>
      <c r="H10" s="30"/>
      <c r="I10" s="30"/>
    </row>
    <row r="11" customFormat="false" ht="15" hidden="false" customHeight="true" outlineLevel="0" collapsed="false">
      <c r="B11" s="54" t="s">
        <v>148</v>
      </c>
      <c r="C11" s="31" t="n">
        <f aca="false">'② SOLO'!C25</f>
        <v>31607442</v>
      </c>
      <c r="D11" s="31" t="n">
        <f aca="false">'② SOLO'!D25</f>
        <v>48957590</v>
      </c>
      <c r="E11" s="31" t="n">
        <f aca="false">'② SOLO'!E25</f>
        <v>62255090</v>
      </c>
      <c r="F11" s="31" t="n">
        <f aca="false">'② SOLO'!F25</f>
        <v>63570171</v>
      </c>
      <c r="G11" s="31" t="n">
        <f aca="false">'② SOLO'!G25</f>
        <v>62327201</v>
      </c>
      <c r="H11" s="31" t="n">
        <f aca="false">'② SOLO'!H25</f>
        <v>268717494</v>
      </c>
      <c r="I11" s="55" t="n">
        <f aca="false">H11/H15</f>
        <v>0.308584394827751</v>
      </c>
    </row>
    <row r="12" customFormat="false" ht="15" hidden="false" customHeight="true" outlineLevel="0" collapsed="false">
      <c r="B12" s="56" t="s">
        <v>149</v>
      </c>
      <c r="C12" s="31" t="n">
        <f aca="false">'③ loveTWO'!C14</f>
        <v>13444803</v>
      </c>
      <c r="D12" s="31" t="n">
        <f aca="false">'③ loveTWO'!D14</f>
        <v>24338286</v>
      </c>
      <c r="E12" s="31" t="n">
        <f aca="false">'③ loveTWO'!E14</f>
        <v>36771338</v>
      </c>
      <c r="F12" s="31" t="n">
        <f aca="false">'③ loveTWO'!F14</f>
        <v>45329690</v>
      </c>
      <c r="G12" s="31" t="n">
        <f aca="false">'③ loveTWO'!G14</f>
        <v>54276127</v>
      </c>
      <c r="H12" s="31" t="n">
        <f aca="false">'③ loveTWO'!H14</f>
        <v>174160244</v>
      </c>
      <c r="I12" s="55" t="n">
        <f aca="false">H12/H15</f>
        <v>0.199998640571549</v>
      </c>
    </row>
    <row r="13" customFormat="false" ht="15" hidden="false" customHeight="true" outlineLevel="0" collapsed="false">
      <c r="B13" s="57" t="s">
        <v>150</v>
      </c>
      <c r="C13" s="31" t="n">
        <f aca="false">'④ TEAM'!C12</f>
        <v>15436960</v>
      </c>
      <c r="D13" s="31" t="n">
        <f aca="false">'④ TEAM'!D12</f>
        <v>39785256</v>
      </c>
      <c r="E13" s="31" t="n">
        <f aca="false">'④ TEAM'!E12</f>
        <v>81034830</v>
      </c>
      <c r="F13" s="31" t="n">
        <f aca="false">'④ TEAM'!F12</f>
        <v>103362924</v>
      </c>
      <c r="G13" s="31" t="n">
        <f aca="false">'④ TEAM'!G12</f>
        <v>121537741</v>
      </c>
      <c r="H13" s="31" t="n">
        <f aca="false">'④ TEAM'!H12</f>
        <v>361157711</v>
      </c>
      <c r="I13" s="55" t="n">
        <f aca="false">H13/H15</f>
        <v>0.414739033277494</v>
      </c>
    </row>
    <row r="14" customFormat="false" ht="15" hidden="false" customHeight="true" outlineLevel="0" collapsed="false">
      <c r="B14" s="58" t="s">
        <v>151</v>
      </c>
      <c r="C14" s="32" t="n">
        <v>0</v>
      </c>
      <c r="D14" s="32" t="n">
        <v>0</v>
      </c>
      <c r="E14" s="32" t="n">
        <f aca="false">ROUND('② SOLO'!E19*'① 가정'!F36*'① 가정'!F35*12*(1+'① 가정'!B12)^2*'① 가정'!B6,0)</f>
        <v>22086374</v>
      </c>
      <c r="F14" s="32" t="n">
        <f aca="false">ROUND('② SOLO'!F19*'① 가정'!F36*'① 가정'!F35*12*(1+'① 가정'!B12)^3*'① 가정'!B6,0)</f>
        <v>22569909</v>
      </c>
      <c r="G14" s="32" t="n">
        <f aca="false">ROUND('② SOLO'!G19*'① 가정'!F36*'① 가정'!F35*12*(1+'① 가정'!B12)^4*'① 가정'!B6,0)</f>
        <v>22115407</v>
      </c>
      <c r="H14" s="32" t="n">
        <f aca="false">SUM(C14:G14)</f>
        <v>66771690</v>
      </c>
      <c r="I14" s="55" t="n">
        <f aca="false">H14/H15</f>
        <v>0.0766779313232066</v>
      </c>
    </row>
    <row r="15" customFormat="false" ht="15" hidden="false" customHeight="true" outlineLevel="0" collapsed="false">
      <c r="B15" s="59" t="s">
        <v>152</v>
      </c>
      <c r="C15" s="60" t="n">
        <f aca="false">SUM(C11:C14)</f>
        <v>60489205</v>
      </c>
      <c r="D15" s="60" t="n">
        <f aca="false">SUM(D11:D14)</f>
        <v>113081132</v>
      </c>
      <c r="E15" s="60" t="n">
        <f aca="false">SUM(E11:E14)</f>
        <v>202147632</v>
      </c>
      <c r="F15" s="60" t="n">
        <f aca="false">SUM(F11:F14)</f>
        <v>234832694</v>
      </c>
      <c r="G15" s="60" t="n">
        <f aca="false">SUM(G11:G14)</f>
        <v>260256476</v>
      </c>
      <c r="H15" s="60" t="n">
        <f aca="false">SUM(H11:H14)</f>
        <v>870807139</v>
      </c>
      <c r="I15" s="55" t="n">
        <f aca="false">H15/H15</f>
        <v>1</v>
      </c>
    </row>
    <row r="18" customFormat="false" ht="16.5" hidden="false" customHeight="true" outlineLevel="0" collapsed="false">
      <c r="B18" s="30" t="s">
        <v>153</v>
      </c>
      <c r="C18" s="30"/>
      <c r="D18" s="30"/>
      <c r="E18" s="30"/>
      <c r="F18" s="30"/>
      <c r="G18" s="30"/>
      <c r="H18" s="30"/>
      <c r="I18" s="30"/>
    </row>
    <row r="19" customFormat="false" ht="15" hidden="false" customHeight="true" outlineLevel="0" collapsed="false">
      <c r="B19" s="6" t="s">
        <v>154</v>
      </c>
      <c r="C19" s="7" t="s">
        <v>73</v>
      </c>
      <c r="D19" s="7" t="s">
        <v>74</v>
      </c>
      <c r="E19" s="7" t="s">
        <v>75</v>
      </c>
      <c r="F19" s="7" t="s">
        <v>76</v>
      </c>
      <c r="G19" s="7" t="s">
        <v>77</v>
      </c>
      <c r="H19" s="6" t="s">
        <v>6</v>
      </c>
      <c r="I19" s="6"/>
    </row>
    <row r="20" customFormat="false" ht="15" hidden="false" customHeight="true" outlineLevel="0" collapsed="false">
      <c r="B20" s="8" t="s">
        <v>155</v>
      </c>
      <c r="C20" s="31" t="n">
        <f aca="false">'② SOLO'!C6</f>
        <v>50</v>
      </c>
      <c r="D20" s="31" t="n">
        <f aca="false">'② SOLO'!D6</f>
        <v>77.5</v>
      </c>
      <c r="E20" s="31" t="n">
        <f aca="false">'② SOLO'!E6</f>
        <v>93.625</v>
      </c>
      <c r="F20" s="31" t="n">
        <f aca="false">'② SOLO'!F6</f>
        <v>88.94375</v>
      </c>
      <c r="G20" s="31" t="n">
        <f aca="false">'② SOLO'!G6</f>
        <v>84.4965625</v>
      </c>
      <c r="H20" s="61" t="s">
        <v>156</v>
      </c>
      <c r="I20" s="61"/>
    </row>
    <row r="21" customFormat="false" ht="15" hidden="false" customHeight="true" outlineLevel="0" collapsed="false">
      <c r="B21" s="8" t="s">
        <v>157</v>
      </c>
      <c r="C21" s="31" t="n">
        <f aca="false">'② SOLO'!C15</f>
        <v>2928</v>
      </c>
      <c r="D21" s="31" t="n">
        <f aca="false">'② SOLO'!D15</f>
        <v>4320</v>
      </c>
      <c r="E21" s="31" t="n">
        <f aca="false">'② SOLO'!E15</f>
        <v>5232</v>
      </c>
      <c r="F21" s="31" t="n">
        <f aca="false">'② SOLO'!F15</f>
        <v>5088</v>
      </c>
      <c r="G21" s="31" t="n">
        <f aca="false">'② SOLO'!G15</f>
        <v>4752</v>
      </c>
      <c r="H21" s="61" t="s">
        <v>158</v>
      </c>
      <c r="I21" s="61"/>
    </row>
    <row r="22" customFormat="false" ht="15" hidden="false" customHeight="true" outlineLevel="0" collapsed="false">
      <c r="B22" s="14" t="s">
        <v>159</v>
      </c>
      <c r="C22" s="31" t="n">
        <f aca="false">'③ loveTWO'!C9</f>
        <v>1348</v>
      </c>
      <c r="D22" s="31" t="n">
        <f aca="false">'③ loveTWO'!D9</f>
        <v>2324</v>
      </c>
      <c r="E22" s="31" t="n">
        <f aca="false">'③ loveTWO'!E9</f>
        <v>3344</v>
      </c>
      <c r="F22" s="31" t="n">
        <f aca="false">'③ loveTWO'!F9</f>
        <v>3926</v>
      </c>
      <c r="G22" s="31" t="n">
        <f aca="false">'③ loveTWO'!G9</f>
        <v>4477</v>
      </c>
      <c r="H22" s="62" t="s">
        <v>160</v>
      </c>
      <c r="I22" s="62"/>
    </row>
    <row r="23" customFormat="false" ht="15" hidden="false" customHeight="true" outlineLevel="0" collapsed="false">
      <c r="B23" s="14" t="s">
        <v>161</v>
      </c>
      <c r="C23" s="31" t="n">
        <f aca="false">'④ TEAM'!C7</f>
        <v>88</v>
      </c>
      <c r="D23" s="31" t="n">
        <f aca="false">'④ TEAM'!D7</f>
        <v>216</v>
      </c>
      <c r="E23" s="31" t="n">
        <f aca="false">'④ TEAM'!E7</f>
        <v>419</v>
      </c>
      <c r="F23" s="31" t="n">
        <f aca="false">'④ TEAM'!F7</f>
        <v>509</v>
      </c>
      <c r="G23" s="31" t="n">
        <f aca="false">'④ TEAM'!G7</f>
        <v>570</v>
      </c>
      <c r="H23" s="61" t="s">
        <v>162</v>
      </c>
      <c r="I23" s="61"/>
    </row>
    <row r="24" customFormat="false" ht="15" hidden="false" customHeight="true" outlineLevel="0" collapsed="false">
      <c r="B24" s="52" t="s">
        <v>163</v>
      </c>
      <c r="C24" s="34" t="n">
        <f aca="false">ROUND(C15/12,0)</f>
        <v>5040767</v>
      </c>
      <c r="D24" s="34" t="n">
        <f aca="false">ROUND(D15/12,0)</f>
        <v>9423428</v>
      </c>
      <c r="E24" s="34" t="n">
        <f aca="false">ROUND(E15/12,0)</f>
        <v>16845636</v>
      </c>
      <c r="F24" s="34" t="n">
        <f aca="false">ROUND(F15/12,0)</f>
        <v>19569391</v>
      </c>
      <c r="G24" s="34" t="n">
        <f aca="false">ROUND(G15/12,0)</f>
        <v>21688040</v>
      </c>
      <c r="H24" s="63" t="s">
        <v>164</v>
      </c>
      <c r="I24" s="63"/>
    </row>
    <row r="26" customFormat="false" ht="16.5" hidden="false" customHeight="true" outlineLevel="0" collapsed="false">
      <c r="B26" s="30" t="s">
        <v>165</v>
      </c>
      <c r="C26" s="30"/>
      <c r="D26" s="30"/>
      <c r="E26" s="30"/>
      <c r="F26" s="30"/>
      <c r="G26" s="30"/>
      <c r="H26" s="30"/>
      <c r="I26" s="30"/>
    </row>
    <row r="27" customFormat="false" ht="15" hidden="false" customHeight="true" outlineLevel="0" collapsed="false">
      <c r="B27" s="6" t="s">
        <v>166</v>
      </c>
      <c r="C27" s="6" t="s">
        <v>167</v>
      </c>
      <c r="D27" s="6" t="s">
        <v>168</v>
      </c>
      <c r="E27" s="6"/>
      <c r="F27" s="6"/>
      <c r="G27" s="6"/>
      <c r="H27" s="6" t="s">
        <v>169</v>
      </c>
      <c r="I27" s="6"/>
    </row>
    <row r="28" customFormat="false" ht="15" hidden="false" customHeight="true" outlineLevel="0" collapsed="false">
      <c r="B28" s="54" t="s">
        <v>170</v>
      </c>
      <c r="C28" s="64" t="s">
        <v>171</v>
      </c>
      <c r="D28" s="62" t="s">
        <v>172</v>
      </c>
      <c r="E28" s="62"/>
      <c r="F28" s="62"/>
      <c r="G28" s="62"/>
      <c r="H28" s="62" t="s">
        <v>173</v>
      </c>
      <c r="I28" s="62"/>
    </row>
    <row r="29" customFormat="false" ht="15" hidden="false" customHeight="true" outlineLevel="0" collapsed="false">
      <c r="B29" s="54" t="s">
        <v>174</v>
      </c>
      <c r="C29" s="64" t="s">
        <v>175</v>
      </c>
      <c r="D29" s="62" t="s">
        <v>176</v>
      </c>
      <c r="E29" s="62"/>
      <c r="F29" s="62"/>
      <c r="G29" s="62"/>
      <c r="H29" s="62" t="s">
        <v>177</v>
      </c>
      <c r="I29" s="62"/>
    </row>
    <row r="30" customFormat="false" ht="15" hidden="false" customHeight="true" outlineLevel="0" collapsed="false">
      <c r="B30" s="54" t="s">
        <v>178</v>
      </c>
      <c r="C30" s="64" t="s">
        <v>179</v>
      </c>
      <c r="D30" s="62" t="s">
        <v>180</v>
      </c>
      <c r="E30" s="62"/>
      <c r="F30" s="62"/>
      <c r="G30" s="62"/>
      <c r="H30" s="62" t="s">
        <v>181</v>
      </c>
      <c r="I30" s="62"/>
    </row>
    <row r="31" customFormat="false" ht="15" hidden="false" customHeight="true" outlineLevel="0" collapsed="false">
      <c r="B31" s="54" t="s">
        <v>182</v>
      </c>
      <c r="C31" s="64" t="s">
        <v>183</v>
      </c>
      <c r="D31" s="61" t="s">
        <v>184</v>
      </c>
      <c r="E31" s="61"/>
      <c r="F31" s="61"/>
      <c r="G31" s="61"/>
      <c r="H31" s="62" t="s">
        <v>185</v>
      </c>
      <c r="I31" s="62"/>
    </row>
    <row r="34" customFormat="false" ht="16.5" hidden="false" customHeight="true" outlineLevel="0" collapsed="false">
      <c r="B34" s="30" t="s">
        <v>186</v>
      </c>
      <c r="C34" s="30"/>
      <c r="D34" s="30"/>
      <c r="E34" s="30"/>
      <c r="F34" s="30"/>
      <c r="G34" s="30"/>
      <c r="H34" s="30"/>
      <c r="I34" s="30"/>
    </row>
    <row r="35" customFormat="false" ht="15" hidden="false" customHeight="true" outlineLevel="0" collapsed="false">
      <c r="B35" s="6" t="s">
        <v>187</v>
      </c>
      <c r="C35" s="7" t="s">
        <v>188</v>
      </c>
      <c r="D35" s="7" t="s">
        <v>189</v>
      </c>
      <c r="E35" s="7" t="s">
        <v>190</v>
      </c>
      <c r="F35" s="7" t="s">
        <v>191</v>
      </c>
      <c r="G35" s="6"/>
      <c r="H35" s="6"/>
      <c r="I35" s="6"/>
    </row>
    <row r="36" customFormat="false" ht="15" hidden="false" customHeight="true" outlineLevel="0" collapsed="false">
      <c r="B36" s="52" t="s">
        <v>192</v>
      </c>
      <c r="C36" s="65" t="s">
        <v>193</v>
      </c>
      <c r="D36" s="65" t="s">
        <v>194</v>
      </c>
      <c r="E36" s="65" t="s">
        <v>194</v>
      </c>
      <c r="F36" s="66" t="s">
        <v>195</v>
      </c>
      <c r="G36" s="61"/>
      <c r="H36" s="61"/>
      <c r="I36" s="61"/>
    </row>
    <row r="37" customFormat="false" ht="15" hidden="false" customHeight="true" outlineLevel="0" collapsed="false">
      <c r="B37" s="64" t="s">
        <v>196</v>
      </c>
      <c r="C37" s="65" t="s">
        <v>197</v>
      </c>
      <c r="D37" s="67" t="s">
        <v>198</v>
      </c>
      <c r="E37" s="65" t="s">
        <v>199</v>
      </c>
      <c r="F37" s="68" t="s">
        <v>200</v>
      </c>
      <c r="G37" s="61"/>
      <c r="H37" s="61"/>
      <c r="I37" s="61"/>
    </row>
    <row r="38" customFormat="false" ht="15" hidden="false" customHeight="true" outlineLevel="0" collapsed="false">
      <c r="B38" s="64" t="s">
        <v>201</v>
      </c>
      <c r="C38" s="67" t="s">
        <v>202</v>
      </c>
      <c r="D38" s="67" t="s">
        <v>203</v>
      </c>
      <c r="E38" s="65" t="s">
        <v>204</v>
      </c>
      <c r="F38" s="66" t="s">
        <v>205</v>
      </c>
      <c r="G38" s="61"/>
      <c r="H38" s="61"/>
      <c r="I38" s="61"/>
    </row>
    <row r="39" customFormat="false" ht="15" hidden="false" customHeight="true" outlineLevel="0" collapsed="false">
      <c r="B39" s="52" t="s">
        <v>206</v>
      </c>
      <c r="C39" s="65" t="s">
        <v>204</v>
      </c>
      <c r="D39" s="65" t="s">
        <v>204</v>
      </c>
      <c r="E39" s="65" t="s">
        <v>204</v>
      </c>
      <c r="F39" s="68" t="s">
        <v>207</v>
      </c>
      <c r="G39" s="61"/>
      <c r="H39" s="61"/>
      <c r="I39" s="61"/>
    </row>
    <row r="40" customFormat="false" ht="15" hidden="false" customHeight="true" outlineLevel="0" collapsed="false">
      <c r="B40" s="52" t="s">
        <v>208</v>
      </c>
      <c r="C40" s="65" t="s">
        <v>209</v>
      </c>
      <c r="D40" s="65" t="s">
        <v>204</v>
      </c>
      <c r="E40" s="65" t="s">
        <v>209</v>
      </c>
      <c r="F40" s="68" t="s">
        <v>210</v>
      </c>
      <c r="G40" s="61"/>
      <c r="H40" s="61"/>
      <c r="I40" s="61"/>
    </row>
    <row r="41" customFormat="false" ht="15" hidden="false" customHeight="true" outlineLevel="0" collapsed="false">
      <c r="B41" s="52" t="s">
        <v>211</v>
      </c>
      <c r="C41" s="65" t="s">
        <v>204</v>
      </c>
      <c r="D41" s="65" t="s">
        <v>204</v>
      </c>
      <c r="E41" s="65" t="s">
        <v>204</v>
      </c>
      <c r="F41" s="68" t="s">
        <v>212</v>
      </c>
      <c r="G41" s="61"/>
      <c r="H41" s="61"/>
      <c r="I41" s="61"/>
    </row>
    <row r="42" customFormat="false" ht="15" hidden="false" customHeight="true" outlineLevel="0" collapsed="false">
      <c r="B42" s="64" t="s">
        <v>213</v>
      </c>
      <c r="C42" s="65" t="s">
        <v>214</v>
      </c>
      <c r="D42" s="65" t="s">
        <v>214</v>
      </c>
      <c r="E42" s="65" t="s">
        <v>214</v>
      </c>
      <c r="F42" s="66" t="s">
        <v>215</v>
      </c>
      <c r="G42" s="61"/>
      <c r="H42" s="61"/>
      <c r="I42" s="61"/>
    </row>
    <row r="45" customFormat="false" ht="13.5" hidden="false" customHeight="true" outlineLevel="0" collapsed="false">
      <c r="A45" s="69" t="s">
        <v>216</v>
      </c>
      <c r="B45" s="69"/>
      <c r="C45" s="69"/>
      <c r="D45" s="69"/>
      <c r="E45" s="69"/>
      <c r="F45" s="69"/>
      <c r="G45" s="69"/>
      <c r="H45" s="69"/>
      <c r="I45" s="69"/>
    </row>
  </sheetData>
  <mergeCells count="29">
    <mergeCell ref="A1:I1"/>
    <mergeCell ref="A2:I2"/>
    <mergeCell ref="A4:I4"/>
    <mergeCell ref="B7:I7"/>
    <mergeCell ref="B10:I10"/>
    <mergeCell ref="B18:I18"/>
    <mergeCell ref="H20:I20"/>
    <mergeCell ref="H21:I21"/>
    <mergeCell ref="H22:I22"/>
    <mergeCell ref="H23:I23"/>
    <mergeCell ref="H24:I24"/>
    <mergeCell ref="B26:I26"/>
    <mergeCell ref="D28:G28"/>
    <mergeCell ref="H28:I28"/>
    <mergeCell ref="D29:G29"/>
    <mergeCell ref="H29:I29"/>
    <mergeCell ref="D30:G30"/>
    <mergeCell ref="H30:I30"/>
    <mergeCell ref="D31:G31"/>
    <mergeCell ref="H31:I31"/>
    <mergeCell ref="B34:I34"/>
    <mergeCell ref="G36:I36"/>
    <mergeCell ref="G37:I37"/>
    <mergeCell ref="G38:I38"/>
    <mergeCell ref="G39:I39"/>
    <mergeCell ref="G40:I40"/>
    <mergeCell ref="G41:I41"/>
    <mergeCell ref="G42:I42"/>
    <mergeCell ref="A45:I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6"/>
    <col collapsed="false" customWidth="true" hidden="false" outlineLevel="0" max="8" min="3" style="1" width="12"/>
    <col collapsed="false" customWidth="true" hidden="false" outlineLevel="0" max="11" min="9" style="1" width="14"/>
  </cols>
  <sheetData>
    <row r="1" customFormat="false" ht="34.5" hidden="false" customHeight="true" outlineLevel="0" collapsed="false">
      <c r="A1" s="70" t="s">
        <v>217</v>
      </c>
      <c r="B1" s="70"/>
      <c r="C1" s="70"/>
      <c r="D1" s="70"/>
      <c r="E1" s="70"/>
      <c r="F1" s="70"/>
      <c r="G1" s="70"/>
      <c r="H1" s="70"/>
      <c r="I1" s="70"/>
      <c r="J1" s="70"/>
      <c r="K1" s="70"/>
    </row>
    <row r="3" customFormat="false" ht="15" hidden="false" customHeight="true" outlineLevel="0" collapsed="false">
      <c r="B3" s="71" t="s">
        <v>218</v>
      </c>
      <c r="C3" s="72" t="s">
        <v>219</v>
      </c>
      <c r="D3" s="71" t="s">
        <v>220</v>
      </c>
      <c r="E3" s="71" t="s">
        <v>221</v>
      </c>
      <c r="F3" s="72" t="s">
        <v>222</v>
      </c>
      <c r="G3" s="72" t="s">
        <v>223</v>
      </c>
      <c r="H3" s="72" t="s">
        <v>224</v>
      </c>
      <c r="I3" s="71" t="s">
        <v>225</v>
      </c>
      <c r="J3" s="71" t="s">
        <v>226</v>
      </c>
      <c r="K3" s="71" t="s">
        <v>6</v>
      </c>
    </row>
    <row r="4" customFormat="false" ht="15" hidden="false" customHeight="true" outlineLevel="0" collapsed="false">
      <c r="B4" s="52" t="s">
        <v>227</v>
      </c>
      <c r="C4" s="73" t="s">
        <v>171</v>
      </c>
      <c r="D4" s="74" t="n">
        <v>2026</v>
      </c>
      <c r="E4" s="9" t="n">
        <v>15</v>
      </c>
      <c r="F4" s="9" t="n">
        <v>80</v>
      </c>
      <c r="G4" s="10" t="s">
        <v>228</v>
      </c>
      <c r="H4" s="75" t="n">
        <v>0.85</v>
      </c>
      <c r="I4" s="32" t="n">
        <f aca="false">ROUND(F4*'① 가정'!B11*(F4*0.2*20+(F4*0.8*0.75)*5+(F4*0.8*0.25)*1)*12/F4,0)</f>
        <v>4493</v>
      </c>
      <c r="J4" s="32" t="n">
        <f aca="false">ROUND(I4*'① 가정'!F6*H4*(1-'① 가정'!B7)*(1-'① 가정'!G6)*'① 가정'!B6,0)</f>
        <v>18498623</v>
      </c>
      <c r="K4" s="10" t="s">
        <v>229</v>
      </c>
    </row>
    <row r="5" customFormat="false" ht="15" hidden="false" customHeight="true" outlineLevel="0" collapsed="false">
      <c r="B5" s="52" t="s">
        <v>230</v>
      </c>
      <c r="C5" s="73" t="s">
        <v>171</v>
      </c>
      <c r="D5" s="74" t="n">
        <v>2026</v>
      </c>
      <c r="E5" s="9" t="n">
        <v>10</v>
      </c>
      <c r="F5" s="9" t="n">
        <v>50</v>
      </c>
      <c r="G5" s="10" t="s">
        <v>228</v>
      </c>
      <c r="H5" s="75" t="n">
        <v>0.75</v>
      </c>
      <c r="I5" s="32" t="n">
        <f aca="false">ROUND(F5*'① 가정'!B11*(F5*0.2*20+(F5*0.8*0.75)*5+(F5*0.8*0.25)*1)*12/F5,0)</f>
        <v>2808</v>
      </c>
      <c r="J5" s="32" t="n">
        <f aca="false">ROUND(I5*'① 가정'!F6*H5*(1-'① 가정'!B7)*(1-'① 가정'!G6)*'① 가정'!B6,0)</f>
        <v>10200992</v>
      </c>
      <c r="K5" s="16" t="s">
        <v>231</v>
      </c>
    </row>
    <row r="6" customFormat="false" ht="15" hidden="false" customHeight="true" outlineLevel="0" collapsed="false">
      <c r="B6" s="52" t="s">
        <v>232</v>
      </c>
      <c r="C6" s="73" t="s">
        <v>171</v>
      </c>
      <c r="D6" s="74" t="n">
        <v>2026</v>
      </c>
      <c r="E6" s="9" t="n">
        <v>8</v>
      </c>
      <c r="F6" s="9" t="n">
        <v>40</v>
      </c>
      <c r="G6" s="10" t="s">
        <v>233</v>
      </c>
      <c r="H6" s="75" t="n">
        <v>0.7</v>
      </c>
      <c r="I6" s="32" t="n">
        <f aca="false">ROUND(F6*'① 가정'!B11*(F6*0.2*20+(F6*0.8*0.75)*5+(F6*0.8*0.25)*1)*12/F6,0)</f>
        <v>2246</v>
      </c>
      <c r="J6" s="32" t="n">
        <f aca="false">ROUND(I6*'① 가정'!F6*H6*(1-'① 가정'!B7)*(1-'① 가정'!G6)*'① 가정'!B6,0)</f>
        <v>7615385</v>
      </c>
      <c r="K6" s="16" t="s">
        <v>234</v>
      </c>
    </row>
    <row r="7" customFormat="false" ht="15" hidden="false" customHeight="true" outlineLevel="0" collapsed="false">
      <c r="B7" s="52" t="s">
        <v>235</v>
      </c>
      <c r="C7" s="73" t="s">
        <v>171</v>
      </c>
      <c r="D7" s="74" t="n">
        <v>2026</v>
      </c>
      <c r="E7" s="9" t="n">
        <v>7</v>
      </c>
      <c r="F7" s="9" t="n">
        <v>30</v>
      </c>
      <c r="G7" s="10" t="s">
        <v>233</v>
      </c>
      <c r="H7" s="75" t="n">
        <v>0.8</v>
      </c>
      <c r="I7" s="32" t="n">
        <f aca="false">ROUND(F7*'① 가정'!B11*(F7*0.2*20+(F7*0.8*0.75)*5+(F7*0.8*0.25)*1)*12/F7,0)</f>
        <v>1685</v>
      </c>
      <c r="J7" s="32" t="n">
        <f aca="false">ROUND(I7*'① 가정'!F6*H7*(1-'① 가정'!B7)*(1-'① 가정'!G6)*'① 가정'!B6,0)</f>
        <v>6529410</v>
      </c>
      <c r="K7" s="10" t="s">
        <v>236</v>
      </c>
    </row>
    <row r="8" customFormat="false" ht="15" hidden="false" customHeight="true" outlineLevel="0" collapsed="false">
      <c r="B8" s="64" t="s">
        <v>237</v>
      </c>
      <c r="C8" s="73" t="s">
        <v>171</v>
      </c>
      <c r="D8" s="74" t="n">
        <v>2026</v>
      </c>
      <c r="E8" s="9" t="n">
        <v>10</v>
      </c>
      <c r="F8" s="9" t="n">
        <v>70</v>
      </c>
      <c r="G8" s="10" t="s">
        <v>233</v>
      </c>
      <c r="H8" s="75" t="n">
        <v>1</v>
      </c>
      <c r="I8" s="32" t="n">
        <f aca="false">ROUND(F8*'① 가정'!B11*(F8*0.2*20+(F8*0.8*0.75)*5+(F8*0.8*0.25)*1)*12/F8,0)</f>
        <v>3931</v>
      </c>
      <c r="J8" s="32" t="n">
        <f aca="false">ROUND(I8*'① 가정'!F6*H8*(1-'① 가정'!B7)*(1-'① 가정'!G6)*'① 가정'!B6,0)</f>
        <v>19040883</v>
      </c>
      <c r="K8" s="16" t="s">
        <v>238</v>
      </c>
    </row>
    <row r="9" customFormat="false" ht="15" hidden="false" customHeight="true" outlineLevel="0" collapsed="false">
      <c r="B9" s="52" t="s">
        <v>239</v>
      </c>
      <c r="C9" s="76" t="s">
        <v>175</v>
      </c>
      <c r="D9" s="74" t="n">
        <v>2027</v>
      </c>
      <c r="E9" s="9" t="n">
        <v>20</v>
      </c>
      <c r="F9" s="9" t="n">
        <v>120</v>
      </c>
      <c r="G9" s="10" t="s">
        <v>240</v>
      </c>
      <c r="H9" s="75" t="n">
        <v>0.9</v>
      </c>
      <c r="I9" s="32" t="n">
        <f aca="false">ROUND(F9*'① 가정'!B11*(F9*0.2*20+(F9*0.8*0.75)*5+(F9*0.8*0.25)*1)*12/F9,0)</f>
        <v>6739</v>
      </c>
      <c r="J9" s="32" t="n">
        <f aca="false">ROUND(I9*'① 가정'!F6*H9*(1-'① 가정'!B7)*(1-'① 가정'!G6)*'① 가정'!B6,0)</f>
        <v>29377986</v>
      </c>
      <c r="K9" s="10" t="s">
        <v>241</v>
      </c>
    </row>
    <row r="10" customFormat="false" ht="15" hidden="false" customHeight="true" outlineLevel="0" collapsed="false">
      <c r="B10" s="52" t="s">
        <v>242</v>
      </c>
      <c r="C10" s="76" t="s">
        <v>175</v>
      </c>
      <c r="D10" s="74" t="n">
        <v>2027</v>
      </c>
      <c r="E10" s="9" t="n">
        <v>10</v>
      </c>
      <c r="F10" s="9" t="n">
        <v>30</v>
      </c>
      <c r="G10" s="10" t="s">
        <v>243</v>
      </c>
      <c r="H10" s="75" t="n">
        <v>0.8</v>
      </c>
      <c r="I10" s="32" t="n">
        <f aca="false">ROUND(F10*'① 가정'!B11*(F10*0.2*20+(F10*0.8*0.75)*5+(F10*0.8*0.25)*1)*12/F10,0)</f>
        <v>1685</v>
      </c>
      <c r="J10" s="32" t="n">
        <f aca="false">ROUND(I10*'① 가정'!F6*H10*(1-'① 가정'!B7)*(1-'① 가정'!G6)*'① 가정'!B6,0)</f>
        <v>6529410</v>
      </c>
      <c r="K10" s="16" t="s">
        <v>244</v>
      </c>
    </row>
    <row r="11" customFormat="false" ht="15" hidden="false" customHeight="true" outlineLevel="0" collapsed="false">
      <c r="B11" s="52" t="s">
        <v>245</v>
      </c>
      <c r="C11" s="77" t="s">
        <v>179</v>
      </c>
      <c r="D11" s="74" t="n">
        <v>2028</v>
      </c>
      <c r="E11" s="9" t="n">
        <v>8</v>
      </c>
      <c r="F11" s="9" t="n">
        <v>60</v>
      </c>
      <c r="G11" s="10" t="s">
        <v>243</v>
      </c>
      <c r="H11" s="75" t="n">
        <v>1</v>
      </c>
      <c r="I11" s="32" t="n">
        <f aca="false">ROUND(F11*'① 가정'!B11*(F11*0.2*20+(F11*0.8*0.75)*5+(F11*0.8*0.25)*1)*12/F11,0)</f>
        <v>3370</v>
      </c>
      <c r="J11" s="32" t="n">
        <f aca="false">ROUND(I11*'① 가정'!F6*H11*(1-'① 가정'!B7)*(1-'① 가정'!G6)*'① 가정'!B6,0)</f>
        <v>16323525</v>
      </c>
      <c r="K11" s="16" t="s">
        <v>246</v>
      </c>
    </row>
    <row r="12" customFormat="false" ht="15" hidden="false" customHeight="true" outlineLevel="0" collapsed="false">
      <c r="B12" s="52" t="s">
        <v>247</v>
      </c>
      <c r="C12" s="77" t="s">
        <v>179</v>
      </c>
      <c r="D12" s="74" t="n">
        <v>2028</v>
      </c>
      <c r="E12" s="9" t="n">
        <v>5</v>
      </c>
      <c r="F12" s="9" t="n">
        <v>30</v>
      </c>
      <c r="G12" s="10" t="s">
        <v>243</v>
      </c>
      <c r="H12" s="75" t="n">
        <v>0.95</v>
      </c>
      <c r="I12" s="32" t="n">
        <f aca="false">ROUND(F12*'① 가정'!B11*(F12*0.2*20+(F12*0.8*0.75)*5+(F12*0.8*0.25)*1)*12/F12,0)</f>
        <v>1685</v>
      </c>
      <c r="J12" s="32" t="n">
        <f aca="false">ROUND(I12*'① 가정'!F6*H12*(1-'① 가정'!B7)*(1-'① 가정'!G6)*'① 가정'!B6,0)</f>
        <v>7753674</v>
      </c>
      <c r="K12" s="16" t="s">
        <v>248</v>
      </c>
    </row>
    <row r="13" customFormat="false" ht="15" hidden="false" customHeight="true" outlineLevel="0" collapsed="false">
      <c r="B13" s="52" t="s">
        <v>249</v>
      </c>
      <c r="C13" s="77" t="s">
        <v>179</v>
      </c>
      <c r="D13" s="74" t="n">
        <v>2028</v>
      </c>
      <c r="E13" s="9" t="n">
        <v>4</v>
      </c>
      <c r="F13" s="9" t="n">
        <v>20</v>
      </c>
      <c r="G13" s="10" t="s">
        <v>243</v>
      </c>
      <c r="H13" s="75" t="n">
        <v>0.9</v>
      </c>
      <c r="I13" s="32" t="n">
        <f aca="false">ROUND(F13*'① 가정'!B11*(F13*0.2*20+(F13*0.8*0.75)*5+(F13*0.8*0.25)*1)*12/F13,0)</f>
        <v>1123</v>
      </c>
      <c r="J13" s="32" t="n">
        <f aca="false">ROUND(I13*'① 가정'!F6*H13*(1-'① 가정'!B7)*(1-'① 가정'!G6)*'① 가정'!B6,0)</f>
        <v>4895604</v>
      </c>
      <c r="K13" s="10" t="s">
        <v>250</v>
      </c>
    </row>
    <row r="14" customFormat="false" ht="15" hidden="false" customHeight="true" outlineLevel="0" collapsed="false">
      <c r="B14" s="52" t="s">
        <v>251</v>
      </c>
      <c r="C14" s="77" t="s">
        <v>179</v>
      </c>
      <c r="D14" s="74" t="n">
        <v>2028</v>
      </c>
      <c r="E14" s="9" t="n">
        <v>3</v>
      </c>
      <c r="F14" s="9" t="n">
        <v>15</v>
      </c>
      <c r="G14" s="10" t="s">
        <v>243</v>
      </c>
      <c r="H14" s="75" t="n">
        <v>0.92</v>
      </c>
      <c r="I14" s="32" t="n">
        <f aca="false">ROUND(F14*'① 가정'!B11*(F14*0.2*20+(F14*0.8*0.75)*5+(F14*0.8*0.25)*1)*12/F14,0)</f>
        <v>842</v>
      </c>
      <c r="J14" s="32" t="n">
        <f aca="false">ROUND(I14*'① 가정'!F6*H14*(1-'① 가정'!B7)*(1-'① 가정'!G6)*'① 가정'!B6,0)</f>
        <v>3752183</v>
      </c>
      <c r="K14" s="16" t="s">
        <v>252</v>
      </c>
    </row>
    <row r="16" customFormat="false" ht="15" hidden="false" customHeight="true" outlineLevel="0" collapsed="false">
      <c r="B16" s="78" t="s">
        <v>253</v>
      </c>
      <c r="C16" s="79"/>
      <c r="D16" s="79"/>
      <c r="E16" s="80" t="n">
        <f aca="false">SUM(E4:E14)</f>
        <v>100</v>
      </c>
      <c r="F16" s="80" t="n">
        <f aca="false">SUM(F4:F14)</f>
        <v>545</v>
      </c>
      <c r="G16" s="79"/>
      <c r="H16" s="79"/>
      <c r="I16" s="80" t="n">
        <f aca="false">SUM(I4:I14)</f>
        <v>30607</v>
      </c>
      <c r="J16" s="80" t="n">
        <f aca="false">SUM(J4:J14)</f>
        <v>130517675</v>
      </c>
      <c r="K16" s="79"/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2026-02-22T13:16:50Z</dcterms:created>
  <dc:creator>openpyxl</dc:creator>
  <dc:description/>
  <dc:language>en-US</dc:language>
  <cp:lastModifiedBy/>
  <dcterms:modified xsi:type="dcterms:W3CDTF">2026-02-22T13:17:51Z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