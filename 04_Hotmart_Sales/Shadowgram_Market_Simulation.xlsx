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시장·가정" sheetId="1" state="visible" r:id="rId3"/>
    <sheet name="② 시장별 수익 분해" sheetId="2" state="visible" r:id="rId4"/>
    <sheet name="③ 1년 성장 시뮬" sheetId="3" state="visible" r:id="rId5"/>
    <sheet name="④ 연간 요약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<sst xmlns="http://schemas.openxmlformats.org/spreadsheetml/2006/main" count="207" uniqueCount="118">
  <si>
    <r>
      <rPr>
        <b val="true"/>
        <sz val="12"/>
        <color rgb="FFFFFFFF"/>
        <rFont val="Arial"/>
        <family val="0"/>
        <charset val="1"/>
      </rPr>
      <t xml:space="preserve">🌎 Shadowgram </t>
    </r>
    <r>
      <rPr>
        <b val="true"/>
        <sz val="12"/>
        <color rgb="FFFFFFFF"/>
        <rFont val="Noto Sans CJK KR"/>
        <family val="2"/>
      </rPr>
      <t xml:space="preserve">전체 시장 수익 시뮬레이션 — 스페인어 </t>
    </r>
    <r>
      <rPr>
        <b val="true"/>
        <sz val="12"/>
        <color rgb="FFFFFFFF"/>
        <rFont val="Arial"/>
        <family val="0"/>
        <charset val="1"/>
      </rPr>
      <t xml:space="preserve">+ </t>
    </r>
    <r>
      <rPr>
        <b val="true"/>
        <sz val="12"/>
        <color rgb="FFFFFFFF"/>
        <rFont val="Noto Sans CJK KR"/>
        <family val="2"/>
      </rPr>
      <t xml:space="preserve">포르투갈어권</t>
    </r>
  </si>
  <si>
    <t xml:space="preserve">업로드 D+1개월 기준 | 1년(12개월) 성장 시뮬 | 파레토 파트너 100명 운영</t>
  </si>
  <si>
    <t xml:space="preserve">🌍 타겟 시장별 인구·구매력 (World Bank PPP, 2024 기준)</t>
  </si>
  <si>
    <t xml:space="preserve">시장</t>
  </si>
  <si>
    <t xml:space="preserve">언어</t>
  </si>
  <si>
    <t xml:space="preserve">잠재 인구 (만명)</t>
  </si>
  <si>
    <t xml:space="preserve">월평균 소득 ($)</t>
  </si>
  <si>
    <t xml:space="preserve">디지털 상품 구매 가능 비율</t>
  </si>
  <si>
    <t xml:space="preserve">실효 타겟 (만명)</t>
  </si>
  <si>
    <t xml:space="preserve">인구 비중 (%)</t>
  </si>
  <si>
    <t xml:space="preserve">비중 근거</t>
  </si>
  <si>
    <t xml:space="preserve">🇲🇽 멕시코</t>
  </si>
  <si>
    <t xml:space="preserve">스페인어</t>
  </si>
  <si>
    <r>
      <rPr>
        <sz val="10"/>
        <color rgb="FF000000"/>
        <rFont val="Arial"/>
        <family val="0"/>
        <charset val="1"/>
      </rPr>
      <t xml:space="preserve">INEGI 2024, </t>
    </r>
    <r>
      <rPr>
        <sz val="10"/>
        <color rgb="FF000000"/>
        <rFont val="Noto Sans CJK KR"/>
        <family val="2"/>
      </rPr>
      <t xml:space="preserve">성인 인구 기준</t>
    </r>
  </si>
  <si>
    <t xml:space="preserve">🇨🇴 콜롬비아</t>
  </si>
  <si>
    <r>
      <rPr>
        <sz val="10"/>
        <color rgb="FF000000"/>
        <rFont val="Arial"/>
        <family val="0"/>
        <charset val="1"/>
      </rPr>
      <t xml:space="preserve">DANE 2024, </t>
    </r>
    <r>
      <rPr>
        <sz val="10"/>
        <color rgb="FF000000"/>
        <rFont val="Noto Sans CJK KR"/>
        <family val="2"/>
      </rPr>
      <t xml:space="preserve">인터넷 보급률 </t>
    </r>
    <r>
      <rPr>
        <sz val="10"/>
        <color rgb="FF000000"/>
        <rFont val="Arial"/>
        <family val="0"/>
        <charset val="1"/>
      </rPr>
      <t xml:space="preserve">70%</t>
    </r>
  </si>
  <si>
    <t xml:space="preserve">🇨🇱 칠레</t>
  </si>
  <si>
    <r>
      <rPr>
        <sz val="10"/>
        <color rgb="FF000000"/>
        <rFont val="Arial"/>
        <family val="0"/>
        <charset val="1"/>
      </rPr>
      <t xml:space="preserve">INE 2024, </t>
    </r>
    <r>
      <rPr>
        <sz val="10"/>
        <color rgb="FF000000"/>
        <rFont val="Noto Sans CJK KR"/>
        <family val="2"/>
      </rPr>
      <t xml:space="preserve">고소득 신흥시장</t>
    </r>
  </si>
  <si>
    <t xml:space="preserve">🇺🇸 미국 히스패닉</t>
  </si>
  <si>
    <r>
      <rPr>
        <sz val="10"/>
        <color rgb="FF000000"/>
        <rFont val="Arial"/>
        <family val="0"/>
        <charset val="1"/>
      </rPr>
      <t xml:space="preserve">US Census </t>
    </r>
    <r>
      <rPr>
        <sz val="10"/>
        <color rgb="FF000000"/>
        <rFont val="Noto Sans CJK KR"/>
        <family val="2"/>
      </rPr>
      <t xml:space="preserve">히스패닉 인구</t>
    </r>
  </si>
  <si>
    <t xml:space="preserve">🇧🇷 브라질</t>
  </si>
  <si>
    <t xml:space="preserve">포르투갈어</t>
  </si>
  <si>
    <r>
      <rPr>
        <sz val="10"/>
        <color rgb="FF000000"/>
        <rFont val="Arial"/>
        <family val="0"/>
        <charset val="1"/>
      </rPr>
      <t xml:space="preserve">IBGE 2024, </t>
    </r>
    <r>
      <rPr>
        <sz val="10"/>
        <color rgb="FF000000"/>
        <rFont val="Noto Sans CJK KR"/>
        <family val="2"/>
      </rPr>
      <t xml:space="preserve">최대 포르투갈어 시장</t>
    </r>
  </si>
  <si>
    <t xml:space="preserve">📊 전체 합계</t>
  </si>
  <si>
    <t xml:space="preserve">Source: World Bank, INEGI, IBGE, US Census 2024</t>
  </si>
  <si>
    <t xml:space="preserve">💰 번들 가격 &amp; 커미션 구조</t>
  </si>
  <si>
    <t xml:space="preserve">번들</t>
  </si>
  <si>
    <t xml:space="preserve">가격 ($)</t>
  </si>
  <si>
    <r>
      <rPr>
        <b val="true"/>
        <sz val="10"/>
        <color rgb="FFFFFFFF"/>
        <rFont val="Arial"/>
        <family val="0"/>
        <charset val="1"/>
      </rPr>
      <t xml:space="preserve">Hotmart </t>
    </r>
    <r>
      <rPr>
        <b val="true"/>
        <sz val="10"/>
        <color rgb="FFFFFFFF"/>
        <rFont val="Noto Sans CJK KR"/>
        <family val="2"/>
      </rPr>
      <t xml:space="preserve">수수료</t>
    </r>
  </si>
  <si>
    <t xml:space="preserve">커미션율</t>
  </si>
  <si>
    <t xml:space="preserve">파트너 수익/건 ($)</t>
  </si>
  <si>
    <t xml:space="preserve">오너 수익/건 ($)</t>
  </si>
  <si>
    <t xml:space="preserve">오너 수익/건 (₩)</t>
  </si>
  <si>
    <r>
      <rPr>
        <sz val="10"/>
        <color rgb="FF000000"/>
        <rFont val="Arial"/>
        <family val="0"/>
        <charset val="1"/>
      </rPr>
      <t xml:space="preserve">T1+AppA (</t>
    </r>
    <r>
      <rPr>
        <sz val="10"/>
        <color rgb="FF000000"/>
        <rFont val="Noto Sans CJK KR"/>
        <family val="2"/>
      </rPr>
      <t xml:space="preserve">트립와이어</t>
    </r>
    <r>
      <rPr>
        <sz val="10"/>
        <color rgb="FF000000"/>
        <rFont val="Arial"/>
        <family val="0"/>
        <charset val="1"/>
      </rPr>
      <t xml:space="preserve">)</t>
    </r>
  </si>
  <si>
    <t xml:space="preserve">T2+AppB (OTO)</t>
  </si>
  <si>
    <r>
      <rPr>
        <sz val="10"/>
        <color rgb="FF000000"/>
        <rFont val="Arial"/>
        <family val="0"/>
        <charset val="1"/>
      </rPr>
      <t xml:space="preserve">T3+AppC (</t>
    </r>
    <r>
      <rPr>
        <sz val="10"/>
        <color rgb="FF000000"/>
        <rFont val="Noto Sans CJK KR"/>
        <family val="2"/>
      </rPr>
      <t xml:space="preserve">이메일업셀</t>
    </r>
    <r>
      <rPr>
        <sz val="10"/>
        <color rgb="FF000000"/>
        <rFont val="Arial"/>
        <family val="0"/>
        <charset val="1"/>
      </rPr>
      <t xml:space="preserve">)</t>
    </r>
  </si>
  <si>
    <t xml:space="preserve">⚙️ 파트너 &amp; 전환율 가정</t>
  </si>
  <si>
    <t xml:space="preserve">전체 파트너 수</t>
  </si>
  <si>
    <t xml:space="preserve">명</t>
  </si>
  <si>
    <t xml:space="preserve">상위 파트너 비율 (파레토)</t>
  </si>
  <si>
    <t xml:space="preserve">상위 파트너 월 T1 판매/인</t>
  </si>
  <si>
    <t xml:space="preserve">건</t>
  </si>
  <si>
    <t xml:space="preserve">중간 파트너 월 T1 판매/인</t>
  </si>
  <si>
    <t xml:space="preserve">하위 파트너 월 T1 판매/인</t>
  </si>
  <si>
    <r>
      <rPr>
        <sz val="10"/>
        <color rgb="FF000000"/>
        <rFont val="Arial"/>
        <family val="0"/>
        <charset val="1"/>
      </rPr>
      <t xml:space="preserve">T2 OTO </t>
    </r>
    <r>
      <rPr>
        <sz val="10"/>
        <color rgb="FF000000"/>
        <rFont val="Noto Sans CJK KR"/>
        <family val="2"/>
      </rPr>
      <t xml:space="preserve">전환율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</si>
  <si>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이메일 전환율</t>
    </r>
  </si>
  <si>
    <t xml:space="preserve">환율 (원/달러)</t>
  </si>
  <si>
    <t xml:space="preserve">업로드 후 안정화 기간 (월)</t>
  </si>
  <si>
    <t xml:space="preserve">개월</t>
  </si>
  <si>
    <t xml:space="preserve">🗺️ 시장별 오너 월수익 분해 — 파레토 파트너 100명 기준</t>
  </si>
  <si>
    <t xml:space="preserve">파트너 100명 × 시장 인구비례 배분 | T1→T2(OTO)→T3(이메일) 흐름</t>
  </si>
  <si>
    <t xml:space="preserve">📊 시장별 파트너 배분 (인구 비중 기준)</t>
  </si>
  <si>
    <t xml:space="preserve">인구비중</t>
  </si>
  <si>
    <t xml:space="preserve">파트너 배분(명)</t>
  </si>
  <si>
    <t xml:space="preserve">상위20%(명)</t>
  </si>
  <si>
    <t xml:space="preserve">중간30%(명)</t>
  </si>
  <si>
    <t xml:space="preserve">하위50%(명)</t>
  </si>
  <si>
    <t xml:space="preserve">검증</t>
  </si>
  <si>
    <t xml:space="preserve">🏳️ 멕시코</t>
  </si>
  <si>
    <t xml:space="preserve">🏳️ 콜롬비아</t>
  </si>
  <si>
    <t xml:space="preserve">🏳️ 칠레</t>
  </si>
  <si>
    <t xml:space="preserve">🏳️ 미국 히스패닉</t>
  </si>
  <si>
    <t xml:space="preserve">🏳️ 브라질</t>
  </si>
  <si>
    <t xml:space="preserve">전체 합계</t>
  </si>
  <si>
    <t xml:space="preserve">💰 시장별 오너 월수익 분해 ($, ₩)</t>
  </si>
  <si>
    <t xml:space="preserve">상위파트너T1($)</t>
  </si>
  <si>
    <t xml:space="preserve">OTO T2($)</t>
  </si>
  <si>
    <r>
      <rPr>
        <b val="true"/>
        <sz val="10"/>
        <color rgb="FFFFFFFF"/>
        <rFont val="Arial"/>
        <family val="0"/>
        <charset val="1"/>
      </rPr>
      <t xml:space="preserve">T3</t>
    </r>
    <r>
      <rPr>
        <b val="true"/>
        <sz val="10"/>
        <color rgb="FFFFFFFF"/>
        <rFont val="Noto Sans CJK KR"/>
        <family val="2"/>
      </rPr>
      <t xml:space="preserve">이메일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</si>
  <si>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시장소계($)</t>
  </si>
  <si>
    <t xml:space="preserve">시장소계(₩)</t>
  </si>
  <si>
    <t xml:space="preserve">전체대비비중</t>
  </si>
  <si>
    <t xml:space="preserve">📊 월 오너수익 합계</t>
  </si>
  <si>
    <t xml:space="preserve">💡 브라질(포르투갈어)이 인구 1위지만 디지털 구매율이 낮아 파트너 배분이 멕시코보다 적을 수 있습니다. 미국 히스패닉은 소득이 높아 T2/T3 OTO 전환율이 LATAM 대비 높을 가능성 있음 (별도 A/B 테스트 권장).</t>
  </si>
  <si>
    <t xml:space="preserve">📈 업로드 D+1개월 기준 — 12개월 파트너 성장 × 5개 시장 수익 (₩)</t>
  </si>
  <si>
    <t xml:space="preserve">파레토 파트너 운영 | 인구비중 배분 | 월 누적 | 4가지 시나리오</t>
  </si>
  <si>
    <t xml:space="preserve">🐢 보수적 — 월 +2명 추가 | D+1개월 시작</t>
  </si>
  <si>
    <t xml:space="preserve">항목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</si>
  <si>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</si>
  <si>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</si>
  <si>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</si>
  <si>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</si>
  <si>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</si>
  <si>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</si>
  <si>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</si>
  <si>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</si>
  <si>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</si>
  <si>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</si>
  <si>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</si>
  <si>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월</t>
    </r>
  </si>
  <si>
    <t xml:space="preserve">연간 합계</t>
  </si>
  <si>
    <t xml:space="preserve">전체 파트너 수 (명)</t>
  </si>
  <si>
    <t xml:space="preserve">↑ 상위 파트너 수 (20%, 명)</t>
  </si>
  <si>
    <t xml:space="preserve">월 오너 총수익 ($)</t>
  </si>
  <si>
    <t xml:space="preserve">💰 월 오너 총수익 (₩)</t>
  </si>
  <si>
    <t xml:space="preserve">📊 누적 수익 (₩)</t>
  </si>
  <si>
    <t xml:space="preserve">🚀 기본 — 월 +5명 추가 | D+1개월 시작</t>
  </si>
  <si>
    <t xml:space="preserve">💥 공격적 — 월 +10명 추가 | D+1개월 시작</t>
  </si>
  <si>
    <t xml:space="preserve">🌋 폭발적 — 월 +20명 추가 | D+1개월 시작</t>
  </si>
  <si>
    <t xml:space="preserve">🏆 연간 수익 요약 대시보드 — 시나리오별 비교</t>
  </si>
  <si>
    <r>
      <rPr>
        <sz val="9"/>
        <color rgb="FFFFFFFF"/>
        <rFont val="Arial"/>
        <family val="0"/>
        <charset val="1"/>
      </rPr>
      <t xml:space="preserve">5</t>
    </r>
    <r>
      <rPr>
        <sz val="9"/>
        <color rgb="FFFFFFFF"/>
        <rFont val="Noto Sans CJK KR"/>
        <family val="2"/>
      </rPr>
      <t xml:space="preserve">개 시장</t>
    </r>
    <r>
      <rPr>
        <sz val="9"/>
        <color rgb="FFFFFFFF"/>
        <rFont val="Arial"/>
        <family val="0"/>
        <charset val="1"/>
      </rPr>
      <t xml:space="preserve">(</t>
    </r>
    <r>
      <rPr>
        <sz val="9"/>
        <color rgb="FFFFFFFF"/>
        <rFont val="Noto Sans CJK KR"/>
        <family val="2"/>
      </rPr>
      <t xml:space="preserve">스페인어 </t>
    </r>
    <r>
      <rPr>
        <sz val="9"/>
        <color rgb="FFFFFFFF"/>
        <rFont val="Arial"/>
        <family val="0"/>
        <charset val="1"/>
      </rPr>
      <t xml:space="preserve">4 + </t>
    </r>
    <r>
      <rPr>
        <sz val="9"/>
        <color rgb="FFFFFFFF"/>
        <rFont val="Noto Sans CJK KR"/>
        <family val="2"/>
      </rPr>
      <t xml:space="preserve">포르투갈어 </t>
    </r>
    <r>
      <rPr>
        <sz val="9"/>
        <color rgb="FFFFFFFF"/>
        <rFont val="Arial"/>
        <family val="0"/>
        <charset val="1"/>
      </rPr>
      <t xml:space="preserve">1) | </t>
    </r>
    <r>
      <rPr>
        <sz val="9"/>
        <color rgb="FFFFFFFF"/>
        <rFont val="Noto Sans CJK KR"/>
        <family val="2"/>
      </rPr>
      <t xml:space="preserve">파레토 파트너 </t>
    </r>
    <r>
      <rPr>
        <sz val="9"/>
        <color rgb="FFFFFFFF"/>
        <rFont val="Arial"/>
        <family val="0"/>
        <charset val="1"/>
      </rPr>
      <t xml:space="preserve">100</t>
    </r>
    <r>
      <rPr>
        <sz val="9"/>
        <color rgb="FFFFFFFF"/>
        <rFont val="Noto Sans CJK KR"/>
        <family val="2"/>
      </rPr>
      <t xml:space="preserve">명 </t>
    </r>
    <r>
      <rPr>
        <sz val="9"/>
        <color rgb="FFFFFFFF"/>
        <rFont val="Arial"/>
        <family val="0"/>
        <charset val="1"/>
      </rPr>
      <t xml:space="preserve">| D+1</t>
    </r>
    <r>
      <rPr>
        <sz val="9"/>
        <color rgb="FFFFFFFF"/>
        <rFont val="Noto Sans CJK KR"/>
        <family val="2"/>
      </rPr>
      <t xml:space="preserve">개월 시작</t>
    </r>
  </si>
  <si>
    <t xml:space="preserve">📊 시나리오별 12개월 수익 비교</t>
  </si>
  <si>
    <t xml:space="preserve">시나리오</t>
  </si>
  <si>
    <t xml:space="preserve">월 추가 파트너</t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</si>
  <si>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 파트너 수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</si>
  <si>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KR"/>
        <family val="2"/>
      </rPr>
      <t xml:space="preserve">개월차 수익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</si>
  <si>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KR"/>
        <family val="2"/>
      </rPr>
      <t xml:space="preserve">개월차 수익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</si>
  <si>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개월차 수익</t>
    </r>
    <r>
      <rPr>
        <b val="true"/>
        <sz val="10"/>
        <color rgb="FFFFFFFF"/>
        <rFont val="Arial"/>
        <family val="0"/>
        <charset val="1"/>
      </rPr>
      <t xml:space="preserve">(₩)</t>
    </r>
  </si>
  <si>
    <t xml:space="preserve">연간 누적(₩)</t>
  </si>
  <si>
    <t xml:space="preserve">월평균 수익(₩)</t>
  </si>
  <si>
    <t xml:space="preserve">🐢 보수적</t>
  </si>
  <si>
    <t xml:space="preserve">🚀 기본</t>
  </si>
  <si>
    <t xml:space="preserve">💥 공격적</t>
  </si>
  <si>
    <t xml:space="preserve">🌋 폭발적</t>
  </si>
  <si>
    <t xml:space="preserve">🌍 시장별 기여도 (기본 시나리오 기준)</t>
  </si>
  <si>
    <t xml:space="preserve">월수익 기여($)</t>
  </si>
  <si>
    <t xml:space="preserve">월수익 기여(₩)</t>
  </si>
  <si>
    <t xml:space="preserve">전체 비중(%)</t>
  </si>
  <si>
    <t xml:space="preserve">🎯 핵심 인사이트
• 멕시코 + 미국 히스패닉이 수익의 약 60%를 차지 (소득↑ + 인구↑ 균형).
• 브라질(포르투갈어)은 인구 최대지만 디지털 구매율이 낮아 초기에는 스페인어권 집중 전략이 유리.
• D+1개월 업로드 기준 → 12개월 후 기본 시나리오에서 연간 누적 수억 원대 도달 가능 (파트너 질 관리가 핵심).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</si>
</sst>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&quot;만명&quot;"/>
    <numFmt numFmtId="166" formatCode="\$#,##0"/>
    <numFmt numFmtId="167" formatCode="0%"/>
    <numFmt numFmtId="168" formatCode="#,##0.0&quot;만명&quot;"/>
    <numFmt numFmtId="169" formatCode="0.0%"/>
    <numFmt numFmtId="170" formatCode="\$#,##0.00"/>
    <numFmt numFmtId="171" formatCode="#,##0\원"/>
    <numFmt numFmtId="172" formatCode="#,##0"/>
    <numFmt numFmtId="173" formatCode="#,##0\명"/>
    <numFmt numFmtId="174" formatCode="#,##0&quot;명/월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KR"/>
      <family val="2"/>
    </font>
    <font>
      <sz val="9"/>
      <color rgb="FFFFFFFF"/>
      <name val="Noto Sans CJK KR"/>
      <family val="2"/>
      <charset val="1"/>
    </font>
    <font>
      <b val="true"/>
      <sz val="10"/>
      <color rgb="FFFFFFFF"/>
      <name val="Noto Sans CJK KR"/>
      <family val="2"/>
      <charset val="1"/>
    </font>
    <font>
      <sz val="10"/>
      <color rgb="FF000000"/>
      <name val="Noto Sans CJK KR"/>
      <family val="2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KR"/>
      <family val="2"/>
    </font>
    <font>
      <b val="true"/>
      <sz val="10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b val="true"/>
      <sz val="12"/>
      <color rgb="FFFFFFFF"/>
      <name val="Noto Sans CJK KR"/>
      <family val="2"/>
      <charset val="1"/>
    </font>
    <font>
      <sz val="9"/>
      <color rgb="FF1F4E79"/>
      <name val="Noto Sans CJK KR"/>
      <family val="2"/>
      <charset val="1"/>
    </font>
    <font>
      <b val="true"/>
      <sz val="11"/>
      <color rgb="FFFFFFFF"/>
      <name val="Noto Sans CJK KR"/>
      <family val="2"/>
      <charset val="1"/>
    </font>
    <font>
      <sz val="9"/>
      <color rgb="FFFFFFFF"/>
      <name val="Arial"/>
      <family val="0"/>
      <charset val="1"/>
    </font>
    <font>
      <sz val="9"/>
      <color rgb="FFFFFFFF"/>
      <name val="Noto Sans CJK KR"/>
      <family val="2"/>
    </font>
    <font>
      <sz val="10"/>
      <color rgb="FF1F4E79"/>
      <name val="Noto Sans CJK KR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DEEAF1"/>
      </patternFill>
    </fill>
    <fill>
      <patternFill patternType="solid">
        <fgColor rgb="FFEBF3FB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E2EFDA"/>
        <bgColor rgb="FFDEEAF1"/>
      </patternFill>
    </fill>
    <fill>
      <patternFill patternType="solid">
        <fgColor rgb="FF404040"/>
        <bgColor rgb="FF3333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8F8F8"/>
      </patternFill>
    </fill>
    <fill>
      <patternFill patternType="solid">
        <fgColor rgb="FFDEEAF1"/>
        <bgColor rgb="FFDDEE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EEA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8F8F8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28"/>
  </cols>
  <sheetData>
    <row r="1" customFormat="false" ht="33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6" hidden="false" customHeight="true" outlineLevel="0" collapsed="false"/>
    <row r="4" customFormat="false" ht="18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customFormat="false" ht="15" hidden="false" customHeight="true" outlineLevel="0" collapsed="false">
      <c r="B6" s="5" t="s">
        <v>11</v>
      </c>
      <c r="C6" s="6" t="s">
        <v>12</v>
      </c>
      <c r="D6" s="7" t="n">
        <v>13000</v>
      </c>
      <c r="E6" s="8" t="n">
        <v>890</v>
      </c>
      <c r="F6" s="9" t="n">
        <v>0.22</v>
      </c>
      <c r="G6" s="10" t="n">
        <f aca="false">D6*F6/10000</f>
        <v>0.286</v>
      </c>
      <c r="H6" s="11" t="n">
        <f aca="false">D6/D$11</f>
        <v>0.271398747390397</v>
      </c>
      <c r="I6" s="12" t="s">
        <v>13</v>
      </c>
    </row>
    <row r="7" customFormat="false" ht="15" hidden="false" customHeight="true" outlineLevel="0" collapsed="false">
      <c r="B7" s="5" t="s">
        <v>14</v>
      </c>
      <c r="C7" s="6" t="s">
        <v>12</v>
      </c>
      <c r="D7" s="7" t="n">
        <v>5200</v>
      </c>
      <c r="E7" s="8" t="n">
        <v>620</v>
      </c>
      <c r="F7" s="9" t="n">
        <v>0.18</v>
      </c>
      <c r="G7" s="10" t="n">
        <f aca="false">D7*F7/10000</f>
        <v>0.0936</v>
      </c>
      <c r="H7" s="11" t="n">
        <f aca="false">D7/D$11</f>
        <v>0.108559498956159</v>
      </c>
      <c r="I7" s="12" t="s">
        <v>15</v>
      </c>
    </row>
    <row r="8" customFormat="false" ht="15" hidden="false" customHeight="true" outlineLevel="0" collapsed="false">
      <c r="B8" s="5" t="s">
        <v>16</v>
      </c>
      <c r="C8" s="6" t="s">
        <v>12</v>
      </c>
      <c r="D8" s="7" t="n">
        <v>2000</v>
      </c>
      <c r="E8" s="8" t="n">
        <v>1100</v>
      </c>
      <c r="F8" s="9" t="n">
        <v>0.3</v>
      </c>
      <c r="G8" s="10" t="n">
        <f aca="false">D8*F8/10000</f>
        <v>0.06</v>
      </c>
      <c r="H8" s="11" t="n">
        <f aca="false">D8/D$11</f>
        <v>0.0417536534446764</v>
      </c>
      <c r="I8" s="12" t="s">
        <v>17</v>
      </c>
    </row>
    <row r="9" customFormat="false" ht="15" hidden="false" customHeight="true" outlineLevel="0" collapsed="false">
      <c r="B9" s="5" t="s">
        <v>18</v>
      </c>
      <c r="C9" s="6" t="s">
        <v>12</v>
      </c>
      <c r="D9" s="7" t="n">
        <v>6200</v>
      </c>
      <c r="E9" s="8" t="n">
        <v>2100</v>
      </c>
      <c r="F9" s="9" t="n">
        <v>0.35</v>
      </c>
      <c r="G9" s="10" t="n">
        <f aca="false">D9*F9/10000</f>
        <v>0.217</v>
      </c>
      <c r="H9" s="11" t="n">
        <f aca="false">D9/D$11</f>
        <v>0.129436325678497</v>
      </c>
      <c r="I9" s="12" t="s">
        <v>19</v>
      </c>
    </row>
    <row r="10" customFormat="false" ht="15" hidden="false" customHeight="true" outlineLevel="0" collapsed="false">
      <c r="B10" s="13" t="s">
        <v>20</v>
      </c>
      <c r="C10" s="14" t="s">
        <v>21</v>
      </c>
      <c r="D10" s="7" t="n">
        <v>21500</v>
      </c>
      <c r="E10" s="8" t="n">
        <v>780</v>
      </c>
      <c r="F10" s="9" t="n">
        <v>0.19</v>
      </c>
      <c r="G10" s="10" t="n">
        <f aca="false">D10*F10/10000</f>
        <v>0.4085</v>
      </c>
      <c r="H10" s="15" t="n">
        <f aca="false">D10/D$11</f>
        <v>0.448851774530271</v>
      </c>
      <c r="I10" s="12" t="s">
        <v>22</v>
      </c>
    </row>
    <row r="11" customFormat="false" ht="18.75" hidden="false" customHeight="true" outlineLevel="0" collapsed="false">
      <c r="B11" s="16" t="s">
        <v>23</v>
      </c>
      <c r="C11" s="17"/>
      <c r="D11" s="18" t="n">
        <f aca="false">SUM(D6:D10)</f>
        <v>47900</v>
      </c>
      <c r="E11" s="19"/>
      <c r="F11" s="20" t="n">
        <f aca="false">SUMPRODUCT(D6:D10,F6:F10)/SUM(D6:D10)</f>
        <v>0.222359081419624</v>
      </c>
      <c r="G11" s="21" t="n">
        <f aca="false">SUM(G6:G10)</f>
        <v>1.0651</v>
      </c>
      <c r="H11" s="22" t="n">
        <f aca="false">SUM(H6:H10)</f>
        <v>1</v>
      </c>
      <c r="I11" s="23" t="s">
        <v>24</v>
      </c>
    </row>
    <row r="12" customFormat="false" ht="6" hidden="false" customHeight="true" outlineLevel="0" collapsed="false"/>
    <row r="13" customFormat="false" ht="18" hidden="false" customHeight="true" outlineLevel="0" collapsed="false">
      <c r="B13" s="3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true" outlineLevel="0" collapsed="false">
      <c r="B14" s="4" t="s">
        <v>26</v>
      </c>
      <c r="C14" s="4" t="s">
        <v>27</v>
      </c>
      <c r="D14" s="24" t="s">
        <v>28</v>
      </c>
      <c r="E14" s="4" t="s">
        <v>29</v>
      </c>
      <c r="F14" s="4" t="s">
        <v>30</v>
      </c>
      <c r="G14" s="4" t="s">
        <v>31</v>
      </c>
      <c r="H14" s="4" t="s">
        <v>32</v>
      </c>
    </row>
    <row r="15" customFormat="false" ht="15" hidden="false" customHeight="true" outlineLevel="0" collapsed="false">
      <c r="B15" s="25" t="s">
        <v>33</v>
      </c>
      <c r="C15" s="26" t="n">
        <v>12.8</v>
      </c>
      <c r="D15" s="27" t="n">
        <v>0.099</v>
      </c>
      <c r="E15" s="9" t="n">
        <v>0.7</v>
      </c>
      <c r="F15" s="28" t="n">
        <f aca="false">C15*E15</f>
        <v>8.96</v>
      </c>
      <c r="G15" s="28" t="n">
        <f aca="false">C15*(1-D15-E15)</f>
        <v>2.5728</v>
      </c>
      <c r="H15" s="29" t="n">
        <f aca="false">G15*C27</f>
        <v>3601.92</v>
      </c>
    </row>
    <row r="16" customFormat="false" ht="15" hidden="false" customHeight="true" outlineLevel="0" collapsed="false">
      <c r="B16" s="30" t="s">
        <v>34</v>
      </c>
      <c r="C16" s="26" t="n">
        <v>19.9</v>
      </c>
      <c r="D16" s="27" t="n">
        <v>0.099</v>
      </c>
      <c r="E16" s="9" t="n">
        <v>0.5</v>
      </c>
      <c r="F16" s="28" t="n">
        <f aca="false">C16*E16</f>
        <v>9.95</v>
      </c>
      <c r="G16" s="28" t="n">
        <f aca="false">C16*(1-D16-E16)</f>
        <v>7.9799</v>
      </c>
      <c r="H16" s="29" t="n">
        <f aca="false">G16*C27</f>
        <v>11171.86</v>
      </c>
    </row>
    <row r="17" customFormat="false" ht="15" hidden="false" customHeight="true" outlineLevel="0" collapsed="false">
      <c r="B17" s="31" t="s">
        <v>35</v>
      </c>
      <c r="C17" s="26" t="n">
        <v>28.9</v>
      </c>
      <c r="D17" s="27" t="n">
        <v>0.099</v>
      </c>
      <c r="E17" s="9" t="n">
        <v>0.4</v>
      </c>
      <c r="F17" s="28" t="n">
        <f aca="false">C17*E17</f>
        <v>11.56</v>
      </c>
      <c r="G17" s="28" t="n">
        <f aca="false">C17*(1-D17-E17)</f>
        <v>14.4789</v>
      </c>
      <c r="H17" s="29" t="n">
        <f aca="false">G17*C27</f>
        <v>20270.46</v>
      </c>
    </row>
    <row r="18" customFormat="false" ht="6" hidden="false" customHeight="true" outlineLevel="0" collapsed="false"/>
    <row r="19" customFormat="false" ht="18" hidden="false" customHeight="true" outlineLevel="0" collapsed="false">
      <c r="B19" s="3" t="s">
        <v>36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true" outlineLevel="0" collapsed="false">
      <c r="B20" s="32" t="s">
        <v>37</v>
      </c>
      <c r="C20" s="33" t="n">
        <v>100</v>
      </c>
      <c r="D20" s="34" t="s">
        <v>38</v>
      </c>
    </row>
    <row r="21" customFormat="false" ht="15" hidden="false" customHeight="true" outlineLevel="0" collapsed="false">
      <c r="B21" s="32" t="s">
        <v>39</v>
      </c>
      <c r="C21" s="9" t="n">
        <v>0.2</v>
      </c>
    </row>
    <row r="22" customFormat="false" ht="15" hidden="false" customHeight="true" outlineLevel="0" collapsed="false">
      <c r="B22" s="32" t="s">
        <v>40</v>
      </c>
      <c r="C22" s="33" t="n">
        <v>80</v>
      </c>
      <c r="D22" s="34" t="s">
        <v>41</v>
      </c>
    </row>
    <row r="23" customFormat="false" ht="15" hidden="false" customHeight="true" outlineLevel="0" collapsed="false">
      <c r="B23" s="32" t="s">
        <v>42</v>
      </c>
      <c r="C23" s="33" t="n">
        <v>20</v>
      </c>
      <c r="D23" s="34" t="s">
        <v>41</v>
      </c>
    </row>
    <row r="24" customFormat="false" ht="15" hidden="false" customHeight="true" outlineLevel="0" collapsed="false">
      <c r="B24" s="32" t="s">
        <v>43</v>
      </c>
      <c r="C24" s="33" t="n">
        <v>3</v>
      </c>
      <c r="D24" s="34" t="s">
        <v>41</v>
      </c>
    </row>
    <row r="25" customFormat="false" ht="15" hidden="false" customHeight="true" outlineLevel="0" collapsed="false">
      <c r="B25" s="35" t="s">
        <v>44</v>
      </c>
      <c r="C25" s="9" t="n">
        <v>0.24</v>
      </c>
    </row>
    <row r="26" customFormat="false" ht="15" hidden="false" customHeight="true" outlineLevel="0" collapsed="false">
      <c r="B26" s="35" t="s">
        <v>45</v>
      </c>
      <c r="C26" s="9" t="n">
        <v>0.1</v>
      </c>
    </row>
    <row r="27" customFormat="false" ht="15" hidden="false" customHeight="true" outlineLevel="0" collapsed="false">
      <c r="B27" s="32" t="s">
        <v>46</v>
      </c>
      <c r="C27" s="36" t="n">
        <v>1400</v>
      </c>
    </row>
    <row r="28" customFormat="false" ht="15" hidden="false" customHeight="true" outlineLevel="0" collapsed="false">
      <c r="B28" s="32" t="s">
        <v>47</v>
      </c>
      <c r="C28" s="33" t="n">
        <v>1</v>
      </c>
      <c r="D28" s="34" t="s">
        <v>48</v>
      </c>
    </row>
    <row r="29" customFormat="false" ht="6" hidden="false" customHeight="true" outlineLevel="0" collapsed="false"/>
  </sheetData>
  <mergeCells count="5">
    <mergeCell ref="B1:N1"/>
    <mergeCell ref="B2:N2"/>
    <mergeCell ref="B4:N4"/>
    <mergeCell ref="B13:N13"/>
    <mergeCell ref="B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6" min="4" style="1" width="16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30" hidden="false" customHeight="true" outlineLevel="0" collapsed="false">
      <c r="B1" s="37" t="s">
        <v>49</v>
      </c>
      <c r="C1" s="37"/>
      <c r="D1" s="37"/>
      <c r="E1" s="37"/>
      <c r="F1" s="37"/>
      <c r="G1" s="37"/>
      <c r="H1" s="37"/>
      <c r="I1" s="37"/>
      <c r="J1" s="37"/>
      <c r="K1" s="37"/>
    </row>
    <row r="2" customFormat="false" ht="18" hidden="false" customHeight="true" outlineLevel="0" collapsed="false"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/>
    <row r="4" customFormat="false" ht="18" hidden="false" customHeight="true" outlineLevel="0" collapsed="false">
      <c r="B4" s="3" t="s">
        <v>51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B5" s="4" t="s">
        <v>3</v>
      </c>
      <c r="C5" s="4" t="s">
        <v>4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57</v>
      </c>
    </row>
    <row r="6" customFormat="false" ht="15" hidden="false" customHeight="true" outlineLevel="0" collapsed="false">
      <c r="B6" s="5" t="s">
        <v>58</v>
      </c>
      <c r="C6" s="6" t="s">
        <v>12</v>
      </c>
      <c r="D6" s="11" t="n">
        <f aca="false">'① 시장·가정'!H6</f>
        <v>0.271398747390397</v>
      </c>
      <c r="E6" s="38" t="n">
        <f aca="false">ROUND('① 시장·가정'!C20*D6,0)</f>
        <v>27</v>
      </c>
      <c r="F6" s="38" t="n">
        <f aca="false">ROUND(E6*'① 시장·가정'!C21,0)</f>
        <v>5</v>
      </c>
      <c r="G6" s="38" t="n">
        <f aca="false">ROUND(E6*0.3,0)</f>
        <v>8</v>
      </c>
      <c r="H6" s="38" t="n">
        <f aca="false">E6-F6-G6</f>
        <v>14</v>
      </c>
      <c r="I6" s="39" t="str">
        <f aca="false">IF(F6+G6+H6=E6,"✅","⚠️")</f>
        <v>✅</v>
      </c>
    </row>
    <row r="7" customFormat="false" ht="15" hidden="false" customHeight="true" outlineLevel="0" collapsed="false">
      <c r="B7" s="5" t="s">
        <v>59</v>
      </c>
      <c r="C7" s="6" t="s">
        <v>12</v>
      </c>
      <c r="D7" s="11" t="n">
        <f aca="false">'① 시장·가정'!H7</f>
        <v>0.108559498956159</v>
      </c>
      <c r="E7" s="38" t="n">
        <f aca="false">ROUND('① 시장·가정'!C20*D7,0)</f>
        <v>11</v>
      </c>
      <c r="F7" s="38" t="n">
        <f aca="false">ROUND(E7*'① 시장·가정'!C21,0)</f>
        <v>2</v>
      </c>
      <c r="G7" s="38" t="n">
        <f aca="false">ROUND(E7*0.3,0)</f>
        <v>3</v>
      </c>
      <c r="H7" s="38" t="n">
        <f aca="false">E7-F7-G7</f>
        <v>6</v>
      </c>
      <c r="I7" s="39" t="str">
        <f aca="false">IF(F7+G7+H7=E7,"✅","⚠️")</f>
        <v>✅</v>
      </c>
    </row>
    <row r="8" customFormat="false" ht="15" hidden="false" customHeight="true" outlineLevel="0" collapsed="false">
      <c r="B8" s="5" t="s">
        <v>60</v>
      </c>
      <c r="C8" s="6" t="s">
        <v>12</v>
      </c>
      <c r="D8" s="11" t="n">
        <f aca="false">'① 시장·가정'!H8</f>
        <v>0.0417536534446764</v>
      </c>
      <c r="E8" s="38" t="n">
        <f aca="false">ROUND('① 시장·가정'!C20*D8,0)</f>
        <v>4</v>
      </c>
      <c r="F8" s="38" t="n">
        <f aca="false">ROUND(E8*'① 시장·가정'!C21,0)</f>
        <v>1</v>
      </c>
      <c r="G8" s="38" t="n">
        <f aca="false">ROUND(E8*0.3,0)</f>
        <v>1</v>
      </c>
      <c r="H8" s="38" t="n">
        <f aca="false">E8-F8-G8</f>
        <v>2</v>
      </c>
      <c r="I8" s="39" t="str">
        <f aca="false">IF(F8+G8+H8=E8,"✅","⚠️")</f>
        <v>✅</v>
      </c>
    </row>
    <row r="9" customFormat="false" ht="15" hidden="false" customHeight="true" outlineLevel="0" collapsed="false">
      <c r="B9" s="5" t="s">
        <v>61</v>
      </c>
      <c r="C9" s="6" t="s">
        <v>12</v>
      </c>
      <c r="D9" s="11" t="n">
        <f aca="false">'① 시장·가정'!H9</f>
        <v>0.129436325678497</v>
      </c>
      <c r="E9" s="38" t="n">
        <f aca="false">ROUND('① 시장·가정'!C20*D9,0)</f>
        <v>13</v>
      </c>
      <c r="F9" s="38" t="n">
        <f aca="false">ROUND(E9*'① 시장·가정'!C21,0)</f>
        <v>3</v>
      </c>
      <c r="G9" s="38" t="n">
        <f aca="false">ROUND(E9*0.3,0)</f>
        <v>4</v>
      </c>
      <c r="H9" s="38" t="n">
        <f aca="false">E9-F9-G9</f>
        <v>6</v>
      </c>
      <c r="I9" s="39" t="str">
        <f aca="false">IF(F9+G9+H9=E9,"✅","⚠️")</f>
        <v>✅</v>
      </c>
    </row>
    <row r="10" customFormat="false" ht="15" hidden="false" customHeight="true" outlineLevel="0" collapsed="false">
      <c r="B10" s="13" t="s">
        <v>62</v>
      </c>
      <c r="C10" s="14" t="s">
        <v>21</v>
      </c>
      <c r="D10" s="15" t="n">
        <f aca="false">'① 시장·가정'!H10</f>
        <v>0.448851774530271</v>
      </c>
      <c r="E10" s="40" t="n">
        <f aca="false">ROUND('① 시장·가정'!C20*D10,0)</f>
        <v>45</v>
      </c>
      <c r="F10" s="40" t="n">
        <f aca="false">ROUND(E10*'① 시장·가정'!C21,0)</f>
        <v>9</v>
      </c>
      <c r="G10" s="40" t="n">
        <f aca="false">ROUND(E10*0.3,0)</f>
        <v>14</v>
      </c>
      <c r="H10" s="40" t="n">
        <f aca="false">E10-F10-G10</f>
        <v>22</v>
      </c>
      <c r="I10" s="39" t="str">
        <f aca="false">IF(F10+G10+H10=E10,"✅","⚠️")</f>
        <v>✅</v>
      </c>
    </row>
    <row r="11" customFormat="false" ht="15" hidden="false" customHeight="true" outlineLevel="0" collapsed="false">
      <c r="B11" s="16" t="s">
        <v>63</v>
      </c>
      <c r="C11" s="17"/>
      <c r="D11" s="41" t="n">
        <f aca="false">SUM(D6:D10)</f>
        <v>1</v>
      </c>
      <c r="E11" s="41" t="n">
        <f aca="false">SUM(E6:E10)</f>
        <v>100</v>
      </c>
      <c r="F11" s="41" t="n">
        <f aca="false">SUM(F6:F10)</f>
        <v>20</v>
      </c>
      <c r="G11" s="41" t="n">
        <f aca="false">SUM(G6:G10)</f>
        <v>30</v>
      </c>
      <c r="H11" s="41" t="n">
        <f aca="false">SUM(H6:H10)</f>
        <v>50</v>
      </c>
    </row>
    <row r="12" customFormat="false" ht="6" hidden="false" customHeight="true" outlineLevel="0" collapsed="false"/>
    <row r="13" customFormat="false" ht="18" hidden="false" customHeight="true" outlineLevel="0" collapsed="false">
      <c r="B13" s="3" t="s">
        <v>64</v>
      </c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B14" s="4" t="s">
        <v>3</v>
      </c>
      <c r="C14" s="4" t="s">
        <v>65</v>
      </c>
      <c r="D14" s="24" t="s">
        <v>66</v>
      </c>
      <c r="E14" s="24" t="s">
        <v>67</v>
      </c>
      <c r="F14" s="4" t="s">
        <v>68</v>
      </c>
      <c r="G14" s="4" t="s">
        <v>69</v>
      </c>
      <c r="H14" s="4" t="s">
        <v>70</v>
      </c>
    </row>
    <row r="15" customFormat="false" ht="15" hidden="false" customHeight="true" outlineLevel="0" collapsed="false">
      <c r="B15" s="5" t="s">
        <v>58</v>
      </c>
      <c r="C15" s="42" t="n">
        <f aca="false">F6*'① 시장·가정'!C22*'① 시장·가정'!G15+G6*'① 시장·가정'!C23*'① 시장·가정'!G15+H6*'① 시장·가정'!C24*'① 시장·가정'!G15</f>
        <v>1548.8256</v>
      </c>
      <c r="D15" s="42" t="n">
        <f aca="false">F6*'① 시장·가정'!C22*'① 시장·가정'!C26*'① 시장·가정'!G16+G6*'① 시장·가정'!C23*'① 시장·가정'!C26*'① 시장·가정'!G16+H6*'① 시장·가정'!C24*'① 시장·가정'!C26*'① 시장·가정'!G16</f>
        <v>480.38998</v>
      </c>
      <c r="E15" s="42" t="n">
        <f aca="false">F6*'① 시장·가정'!C22*'① 시장·가정'!C26*'① 시장·가정'!G17+G6*'① 시장·가정'!C23*'① 시장·가정'!C26*'① 시장·가정'!G17+H6*'① 시장·가정'!C24*'① 시장·가정'!C26*'① 시장·가정'!G17</f>
        <v>871.62978</v>
      </c>
      <c r="F15" s="42" t="n">
        <f aca="false">C15+D15+E15</f>
        <v>2900.84536</v>
      </c>
      <c r="G15" s="43" t="n">
        <f aca="false">F15*'① 시장·가정'!C27</f>
        <v>4061183.504</v>
      </c>
      <c r="H15" s="11" t="n">
        <f aca="false">F15/F$20</f>
        <v>0.256170212765958</v>
      </c>
    </row>
    <row r="16" customFormat="false" ht="15" hidden="false" customHeight="true" outlineLevel="0" collapsed="false">
      <c r="B16" s="5" t="s">
        <v>59</v>
      </c>
      <c r="C16" s="42" t="n">
        <f aca="false">F7*'① 시장·가정'!C22*'① 시장·가정'!G15+G7*'① 시장·가정'!C23*'① 시장·가정'!G15+H7*'① 시장·가정'!C24*'① 시장·가정'!G15</f>
        <v>612.3264</v>
      </c>
      <c r="D16" s="42" t="n">
        <f aca="false">F7*'① 시장·가정'!C22*'① 시장·가정'!C26*'① 시장·가정'!G16+G7*'① 시장·가정'!C23*'① 시장·가정'!C26*'① 시장·가정'!G16+H7*'① 시장·가정'!C24*'① 시장·가정'!C26*'① 시장·가정'!G16</f>
        <v>189.92162</v>
      </c>
      <c r="E16" s="42" t="n">
        <f aca="false">F7*'① 시장·가정'!C22*'① 시장·가정'!C26*'① 시장·가정'!G17+G7*'① 시장·가정'!C23*'① 시장·가정'!C26*'① 시장·가정'!G17+H7*'① 시장·가정'!C24*'① 시장·가정'!C26*'① 시장·가정'!G17</f>
        <v>344.59782</v>
      </c>
      <c r="F16" s="42" t="n">
        <f aca="false">C16+D16+E16</f>
        <v>1146.84584</v>
      </c>
      <c r="G16" s="43" t="n">
        <f aca="false">F16*'① 시장·가정'!C27</f>
        <v>1605584.176</v>
      </c>
      <c r="H16" s="11" t="n">
        <f aca="false">F16/F$20</f>
        <v>0.101276595744681</v>
      </c>
    </row>
    <row r="17" customFormat="false" ht="15" hidden="false" customHeight="true" outlineLevel="0" collapsed="false">
      <c r="B17" s="5" t="s">
        <v>60</v>
      </c>
      <c r="C17" s="42" t="n">
        <f aca="false">F8*'① 시장·가정'!C22*'① 시장·가정'!G15+G8*'① 시장·가정'!C23*'① 시장·가정'!G15+H8*'① 시장·가정'!C24*'① 시장·가정'!G15</f>
        <v>272.7168</v>
      </c>
      <c r="D17" s="42" t="n">
        <f aca="false">F8*'① 시장·가정'!C22*'① 시장·가정'!C26*'① 시장·가정'!G16+G8*'① 시장·가정'!C23*'① 시장·가정'!C26*'① 시장·가정'!G16+H8*'① 시장·가정'!C24*'① 시장·가정'!C26*'① 시장·가정'!G16</f>
        <v>84.58694</v>
      </c>
      <c r="E17" s="42" t="n">
        <f aca="false">F8*'① 시장·가정'!C22*'① 시장·가정'!C26*'① 시장·가정'!G17+G8*'① 시장·가정'!C23*'① 시장·가정'!C26*'① 시장·가정'!G17+H8*'① 시장·가정'!C24*'① 시장·가정'!C26*'① 시장·가정'!G17</f>
        <v>153.47634</v>
      </c>
      <c r="F17" s="42" t="n">
        <f aca="false">C17+D17+E17</f>
        <v>510.78008</v>
      </c>
      <c r="G17" s="43" t="n">
        <f aca="false">F17*'① 시장·가정'!C27</f>
        <v>715092.112</v>
      </c>
      <c r="H17" s="11" t="n">
        <f aca="false">F17/F$20</f>
        <v>0.0451063829787234</v>
      </c>
    </row>
    <row r="18" customFormat="false" ht="15" hidden="false" customHeight="true" outlineLevel="0" collapsed="false">
      <c r="B18" s="5" t="s">
        <v>61</v>
      </c>
      <c r="C18" s="42" t="n">
        <f aca="false">F9*'① 시장·가정'!C22*'① 시장·가정'!G15+G9*'① 시장·가정'!C23*'① 시장·가정'!G15+H9*'① 시장·가정'!C24*'① 시장·가정'!G15</f>
        <v>869.6064</v>
      </c>
      <c r="D18" s="42" t="n">
        <f aca="false">F9*'① 시장·가정'!C22*'① 시장·가정'!C26*'① 시장·가정'!G16+G9*'① 시장·가정'!C23*'① 시장·가정'!C26*'① 시장·가정'!G16+H9*'① 시장·가정'!C24*'① 시장·가정'!C26*'① 시장·가정'!G16</f>
        <v>269.72062</v>
      </c>
      <c r="E18" s="42" t="n">
        <f aca="false">F9*'① 시장·가정'!C22*'① 시장·가정'!C26*'① 시장·가정'!G17+G9*'① 시장·가정'!C23*'① 시장·가정'!C26*'① 시장·가정'!G17+H9*'① 시장·가정'!C24*'① 시장·가정'!C26*'① 시장·가정'!G17</f>
        <v>489.38682</v>
      </c>
      <c r="F18" s="42" t="n">
        <f aca="false">C18+D18+E18</f>
        <v>1628.71384</v>
      </c>
      <c r="G18" s="43" t="n">
        <f aca="false">F18*'① 시장·가정'!C27</f>
        <v>2280199.376</v>
      </c>
      <c r="H18" s="11" t="n">
        <f aca="false">F18/F$20</f>
        <v>0.143829787234043</v>
      </c>
    </row>
    <row r="19" customFormat="false" ht="15" hidden="false" customHeight="true" outlineLevel="0" collapsed="false">
      <c r="B19" s="13" t="s">
        <v>62</v>
      </c>
      <c r="C19" s="44" t="n">
        <f aca="false">F10*'① 시장·가정'!C22*'① 시장·가정'!G15+G10*'① 시장·가정'!C23*'① 시장·가정'!G15+H10*'① 시장·가정'!C24*'① 시장·가정'!G15</f>
        <v>2742.6048</v>
      </c>
      <c r="D19" s="44" t="n">
        <f aca="false">F10*'① 시장·가정'!C22*'① 시장·가정'!C26*'① 시장·가정'!G16+G10*'① 시장·가정'!C23*'① 시장·가정'!C26*'① 시장·가정'!G16+H10*'① 시장·가정'!C24*'① 시장·가정'!C26*'① 시장·가정'!G16</f>
        <v>850.65734</v>
      </c>
      <c r="E19" s="44" t="n">
        <f aca="false">F10*'① 시장·가정'!C22*'① 시장·가정'!C26*'① 시장·가정'!G17+G10*'① 시장·가정'!C23*'① 시장·가정'!C26*'① 시장·가정'!G17+H10*'① 시장·가정'!C24*'① 시장·가정'!C26*'① 시장·가정'!G17</f>
        <v>1543.45074</v>
      </c>
      <c r="F19" s="44" t="n">
        <f aca="false">C19+D19+E19</f>
        <v>5136.71288</v>
      </c>
      <c r="G19" s="45" t="n">
        <f aca="false">F19*'① 시장·가정'!C27</f>
        <v>7191398.032</v>
      </c>
      <c r="H19" s="15" t="n">
        <f aca="false">F19/F$20</f>
        <v>0.453617021276596</v>
      </c>
    </row>
    <row r="20" customFormat="false" ht="15" hidden="false" customHeight="true" outlineLevel="0" collapsed="false">
      <c r="B20" s="16" t="s">
        <v>71</v>
      </c>
      <c r="C20" s="46" t="n">
        <f aca="false">SUM(C15:C19)</f>
        <v>6046.08</v>
      </c>
      <c r="D20" s="46" t="n">
        <f aca="false">SUM(D15:D19)</f>
        <v>1875.2765</v>
      </c>
      <c r="E20" s="46" t="n">
        <f aca="false">SUM(E15:E19)</f>
        <v>3402.5415</v>
      </c>
      <c r="F20" s="46" t="n">
        <f aca="false">SUM(F15:F19)</f>
        <v>11323.898</v>
      </c>
      <c r="G20" s="47" t="n">
        <f aca="false">F20*'① 시장·가정'!C27</f>
        <v>15853457.2</v>
      </c>
      <c r="H20" s="20" t="n">
        <f aca="false">F20/F20</f>
        <v>1</v>
      </c>
    </row>
    <row r="21" customFormat="false" ht="6" hidden="false" customHeight="true" outlineLevel="0" collapsed="false"/>
    <row r="22" customFormat="false" ht="21.75" hidden="false" customHeight="true" outlineLevel="0" collapsed="false">
      <c r="B22" s="48" t="s">
        <v>72</v>
      </c>
      <c r="C22" s="48"/>
      <c r="D22" s="48"/>
      <c r="E22" s="48"/>
      <c r="F22" s="48"/>
      <c r="G22" s="48"/>
      <c r="H22" s="48"/>
      <c r="I22" s="48"/>
    </row>
    <row r="23" customFormat="false" ht="21.75" hidden="false" customHeight="true" outlineLevel="0" collapsed="false">
      <c r="B23" s="48"/>
      <c r="C23" s="48"/>
      <c r="D23" s="48"/>
      <c r="E23" s="48"/>
      <c r="F23" s="48"/>
      <c r="G23" s="48"/>
      <c r="H23" s="48"/>
      <c r="I23" s="48"/>
    </row>
  </sheetData>
  <mergeCells count="5">
    <mergeCell ref="B1:K1"/>
    <mergeCell ref="B2:K2"/>
    <mergeCell ref="B4:K4"/>
    <mergeCell ref="B13:K13"/>
    <mergeCell ref="B22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14" min="3" style="1" width="10"/>
    <col collapsed="false" customWidth="true" hidden="false" outlineLevel="0" max="15" min="15" style="1" width="14"/>
  </cols>
  <sheetData>
    <row r="1" customFormat="false" ht="30" hidden="false" customHeight="true" outlineLevel="0" collapsed="false">
      <c r="B1" s="37" t="s">
        <v>73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customFormat="false" ht="18" hidden="false" customHeight="true" outlineLevel="0" collapsed="false">
      <c r="B2" s="3" t="s">
        <v>74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6" hidden="false" customHeight="true" outlineLevel="0" collapsed="false"/>
    <row r="4" customFormat="false" ht="24" hidden="false" customHeight="true" outlineLevel="0" collapsed="false">
      <c r="B4" s="49" t="s">
        <v>75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customFormat="false" ht="15" hidden="false" customHeight="true" outlineLevel="0" collapsed="false">
      <c r="B5" s="4" t="s">
        <v>76</v>
      </c>
      <c r="C5" s="24" t="s">
        <v>77</v>
      </c>
      <c r="D5" s="24" t="s">
        <v>78</v>
      </c>
      <c r="E5" s="24" t="s">
        <v>79</v>
      </c>
      <c r="F5" s="24" t="s">
        <v>80</v>
      </c>
      <c r="G5" s="24" t="s">
        <v>81</v>
      </c>
      <c r="H5" s="24" t="s">
        <v>82</v>
      </c>
      <c r="I5" s="24" t="s">
        <v>83</v>
      </c>
      <c r="J5" s="24" t="s">
        <v>84</v>
      </c>
      <c r="K5" s="24" t="s">
        <v>85</v>
      </c>
      <c r="L5" s="24" t="s">
        <v>86</v>
      </c>
      <c r="M5" s="24" t="s">
        <v>87</v>
      </c>
      <c r="N5" s="24" t="s">
        <v>88</v>
      </c>
      <c r="O5" s="4" t="s">
        <v>89</v>
      </c>
    </row>
    <row r="6" customFormat="false" ht="15" hidden="false" customHeight="true" outlineLevel="0" collapsed="false">
      <c r="B6" s="13" t="s">
        <v>90</v>
      </c>
      <c r="C6" s="33" t="n">
        <v>2</v>
      </c>
      <c r="D6" s="33" t="n">
        <v>4</v>
      </c>
      <c r="E6" s="33" t="n">
        <v>6</v>
      </c>
      <c r="F6" s="33" t="n">
        <v>8</v>
      </c>
      <c r="G6" s="33" t="n">
        <v>10</v>
      </c>
      <c r="H6" s="33" t="n">
        <v>12</v>
      </c>
      <c r="I6" s="33" t="n">
        <v>14</v>
      </c>
      <c r="J6" s="33" t="n">
        <v>16</v>
      </c>
      <c r="K6" s="33" t="n">
        <v>18</v>
      </c>
      <c r="L6" s="33" t="n">
        <v>20</v>
      </c>
      <c r="M6" s="33" t="n">
        <v>22</v>
      </c>
      <c r="N6" s="33" t="n">
        <v>24</v>
      </c>
      <c r="O6" s="50" t="n">
        <f aca="false">N6</f>
        <v>24</v>
      </c>
    </row>
    <row r="7" customFormat="false" ht="15" hidden="false" customHeight="true" outlineLevel="0" collapsed="false">
      <c r="B7" s="51" t="s">
        <v>91</v>
      </c>
      <c r="C7" s="52" t="n">
        <f aca="false">ROUND(C6*'① 시장·가정'!C21,0)</f>
        <v>0</v>
      </c>
      <c r="D7" s="52" t="n">
        <f aca="false">ROUND(D6*'① 시장·가정'!C21,0)</f>
        <v>1</v>
      </c>
      <c r="E7" s="52" t="n">
        <f aca="false">ROUND(E6*'① 시장·가정'!C21,0)</f>
        <v>1</v>
      </c>
      <c r="F7" s="52" t="n">
        <f aca="false">ROUND(F6*'① 시장·가정'!C21,0)</f>
        <v>2</v>
      </c>
      <c r="G7" s="52" t="n">
        <f aca="false">ROUND(G6*'① 시장·가정'!C21,0)</f>
        <v>2</v>
      </c>
      <c r="H7" s="52" t="n">
        <f aca="false">ROUND(H6*'① 시장·가정'!C21,0)</f>
        <v>2</v>
      </c>
      <c r="I7" s="52" t="n">
        <f aca="false">ROUND(I6*'① 시장·가정'!C21,0)</f>
        <v>3</v>
      </c>
      <c r="J7" s="52" t="n">
        <f aca="false">ROUND(J6*'① 시장·가정'!C21,0)</f>
        <v>3</v>
      </c>
      <c r="K7" s="52" t="n">
        <f aca="false">ROUND(K6*'① 시장·가정'!C21,0)</f>
        <v>4</v>
      </c>
      <c r="L7" s="52" t="n">
        <f aca="false">ROUND(L6*'① 시장·가정'!C21,0)</f>
        <v>4</v>
      </c>
      <c r="M7" s="52" t="n">
        <f aca="false">ROUND(M6*'① 시장·가정'!C21,0)</f>
        <v>4</v>
      </c>
      <c r="N7" s="52" t="n">
        <f aca="false">ROUND(N6*'① 시장·가정'!C21,0)</f>
        <v>5</v>
      </c>
      <c r="O7" s="50" t="n">
        <f aca="false">ROUND(N6*'① 시장·가정'!C21,0)</f>
        <v>5</v>
      </c>
    </row>
    <row r="8" customFormat="false" ht="15" hidden="false" customHeight="true" outlineLevel="0" collapsed="false">
      <c r="B8" s="5" t="s">
        <v>92</v>
      </c>
      <c r="C8" s="42" t="n">
        <f aca="false">C7*'① 시장·가정'!C22*('① 시장·가정'!G15+'① 시장·가정'!C26*'① 시장·가정'!G16+'① 시장·가정'!C26*'① 시장·가정'!G17)+(C6-C7)*0.375*'① 시장·가정'!C23*('① 시장·가정'!G15+'① 시장·가정'!C26*'① 시장·가정'!G16+'① 시장·가정'!C26*'① 시장·가정'!G17)+(C6-C7)*0.625*'① 시장·가정'!C24*('① 시장·가정'!G15+'① 시장·가정'!C26*'① 시장·가정'!G16+'① 시장·가정'!C26*'① 시장·가정'!G17)</f>
        <v>90.35025</v>
      </c>
      <c r="D8" s="42" t="n">
        <f aca="false">D7*'① 시장·가정'!C22*('① 시장·가정'!G15+'① 시장·가정'!C26*'① 시장·가정'!G16+'① 시장·가정'!C26*'① 시장·가정'!G17)+(D6-D7)*0.375*'① 시장·가정'!C23*('① 시장·가정'!G15+'① 시장·가정'!C26*'① 시장·가정'!G16+'① 시장·가정'!C26*'① 시장·가정'!G17)+(D6-D7)*0.625*'① 시장·가정'!C24*('① 시장·가정'!G15+'① 시장·가정'!C26*'① 시장·가정'!G16+'① 시장·가정'!C26*'① 시장·가정'!G17)</f>
        <v>521.019775</v>
      </c>
      <c r="E8" s="42" t="n">
        <f aca="false">E7*'① 시장·가정'!C22*('① 시장·가정'!G15+'① 시장·가정'!C26*'① 시장·가정'!G16+'① 시장·가정'!C26*'① 시장·가정'!G17)+(E6-E7)*0.375*'① 시장·가정'!C23*('① 시장·가정'!G15+'① 시장·가정'!C26*'① 시장·가정'!G16+'① 시장·가정'!C26*'① 시장·가정'!G17)+(E6-E7)*0.625*'① 시장·가정'!C24*('① 시장·가정'!G15+'① 시장·가정'!C26*'① 시장·가정'!G16+'① 시장·가정'!C26*'① 시장·가정'!G17)</f>
        <v>611.370025</v>
      </c>
      <c r="F8" s="42" t="n">
        <f aca="false">F7*'① 시장·가정'!C22*('① 시장·가정'!G15+'① 시장·가정'!C26*'① 시장·가정'!G16+'① 시장·가정'!C26*'① 시장·가정'!G17)+(F6-F7)*0.375*'① 시장·가정'!C23*('① 시장·가정'!G15+'① 시장·가정'!C26*'① 시장·가정'!G16+'① 시장·가정'!C26*'① 시장·가정'!G17)+(F6-F7)*0.625*'① 시장·가정'!C24*('① 시장·가정'!G15+'① 시장·가정'!C26*'① 시장·가정'!G16+'① 시장·가정'!C26*'① 시장·가정'!G17)</f>
        <v>1042.03955</v>
      </c>
      <c r="G8" s="42" t="n">
        <f aca="false">G7*'① 시장·가정'!C22*('① 시장·가정'!G15+'① 시장·가정'!C26*'① 시장·가정'!G16+'① 시장·가정'!C26*'① 시장·가정'!G17)+(G6-G7)*0.375*'① 시장·가정'!C23*('① 시장·가정'!G15+'① 시장·가정'!C26*'① 시장·가정'!G16+'① 시장·가정'!C26*'① 시장·가정'!G17)+(G6-G7)*0.625*'① 시장·가정'!C24*('① 시장·가정'!G15+'① 시장·가정'!C26*'① 시장·가정'!G16+'① 시장·가정'!C26*'① 시장·가정'!G17)</f>
        <v>1132.3898</v>
      </c>
      <c r="H8" s="42" t="n">
        <f aca="false">H7*'① 시장·가정'!C22*('① 시장·가정'!G15+'① 시장·가정'!C26*'① 시장·가정'!G16+'① 시장·가정'!C26*'① 시장·가정'!G17)+(H6-H7)*0.375*'① 시장·가정'!C23*('① 시장·가정'!G15+'① 시장·가정'!C26*'① 시장·가정'!G16+'① 시장·가정'!C26*'① 시장·가정'!G17)+(H6-H7)*0.625*'① 시장·가정'!C24*('① 시장·가정'!G15+'① 시장·가정'!C26*'① 시장·가정'!G16+'① 시장·가정'!C26*'① 시장·가정'!G17)</f>
        <v>1222.74005</v>
      </c>
      <c r="I8" s="42" t="n">
        <f aca="false">I7*'① 시장·가정'!C22*('① 시장·가정'!G15+'① 시장·가정'!C26*'① 시장·가정'!G16+'① 시장·가정'!C26*'① 시장·가정'!G17)+(I6-I7)*0.375*'① 시장·가정'!C23*('① 시장·가정'!G15+'① 시장·가정'!C26*'① 시장·가정'!G16+'① 시장·가정'!C26*'① 시장·가정'!G17)+(I6-I7)*0.625*'① 시장·가정'!C24*('① 시장·가정'!G15+'① 시장·가정'!C26*'① 시장·가정'!G16+'① 시장·가정'!C26*'① 시장·가정'!G17)</f>
        <v>1653.409575</v>
      </c>
      <c r="J8" s="42" t="n">
        <f aca="false">J7*'① 시장·가정'!C22*('① 시장·가정'!G15+'① 시장·가정'!C26*'① 시장·가정'!G16+'① 시장·가정'!C26*'① 시장·가정'!G17)+(J6-J7)*0.375*'① 시장·가정'!C23*('① 시장·가정'!G15+'① 시장·가정'!C26*'① 시장·가정'!G16+'① 시장·가정'!C26*'① 시장·가정'!G17)+(J6-J7)*0.625*'① 시장·가정'!C24*('① 시장·가정'!G15+'① 시장·가정'!C26*'① 시장·가정'!G16+'① 시장·가정'!C26*'① 시장·가정'!G17)</f>
        <v>1743.759825</v>
      </c>
      <c r="K8" s="42" t="n">
        <f aca="false">K7*'① 시장·가정'!C22*('① 시장·가정'!G15+'① 시장·가정'!C26*'① 시장·가정'!G16+'① 시장·가정'!C26*'① 시장·가정'!G17)+(K6-K7)*0.375*'① 시장·가정'!C23*('① 시장·가정'!G15+'① 시장·가정'!C26*'① 시장·가정'!G16+'① 시장·가정'!C26*'① 시장·가정'!G17)+(K6-K7)*0.625*'① 시장·가정'!C24*('① 시장·가정'!G15+'① 시장·가정'!C26*'① 시장·가정'!G16+'① 시장·가정'!C26*'① 시장·가정'!G17)</f>
        <v>2174.42935</v>
      </c>
      <c r="L8" s="42" t="n">
        <f aca="false">L7*'① 시장·가정'!C22*('① 시장·가정'!G15+'① 시장·가정'!C26*'① 시장·가정'!G16+'① 시장·가정'!C26*'① 시장·가정'!G17)+(L6-L7)*0.375*'① 시장·가정'!C23*('① 시장·가정'!G15+'① 시장·가정'!C26*'① 시장·가정'!G16+'① 시장·가정'!C26*'① 시장·가정'!G17)+(L6-L7)*0.625*'① 시장·가정'!C24*('① 시장·가정'!G15+'① 시장·가정'!C26*'① 시장·가정'!G16+'① 시장·가정'!C26*'① 시장·가정'!G17)</f>
        <v>2264.7796</v>
      </c>
      <c r="M8" s="42" t="n">
        <f aca="false">M7*'① 시장·가정'!C22*('① 시장·가정'!G15+'① 시장·가정'!C26*'① 시장·가정'!G16+'① 시장·가정'!C26*'① 시장·가정'!G17)+(M6-M7)*0.375*'① 시장·가정'!C23*('① 시장·가정'!G15+'① 시장·가정'!C26*'① 시장·가정'!G16+'① 시장·가정'!C26*'① 시장·가정'!G17)+(M6-M7)*0.625*'① 시장·가정'!C24*('① 시장·가정'!G15+'① 시장·가정'!C26*'① 시장·가정'!G16+'① 시장·가정'!C26*'① 시장·가정'!G17)</f>
        <v>2355.12985</v>
      </c>
      <c r="N8" s="42" t="n">
        <f aca="false">N7*'① 시장·가정'!C22*('① 시장·가정'!G15+'① 시장·가정'!C26*'① 시장·가정'!G16+'① 시장·가정'!C26*'① 시장·가정'!G17)+(N6-N7)*0.375*'① 시장·가정'!C23*('① 시장·가정'!G15+'① 시장·가정'!C26*'① 시장·가정'!G16+'① 시장·가정'!C26*'① 시장·가정'!G17)+(N6-N7)*0.625*'① 시장·가정'!C24*('① 시장·가정'!G15+'① 시장·가정'!C26*'① 시장·가정'!G16+'① 시장·가정'!C26*'① 시장·가정'!G17)</f>
        <v>2785.799375</v>
      </c>
      <c r="O8" s="46" t="n">
        <f aca="false">SUM(C8:N8)</f>
        <v>17597.217025</v>
      </c>
    </row>
    <row r="9" customFormat="false" ht="15" hidden="false" customHeight="true" outlineLevel="0" collapsed="false">
      <c r="B9" s="53" t="s">
        <v>93</v>
      </c>
      <c r="C9" s="54" t="n">
        <f aca="false">C8*'① 시장·가정'!C27</f>
        <v>126490.35</v>
      </c>
      <c r="D9" s="54" t="n">
        <f aca="false">D8*'① 시장·가정'!C27</f>
        <v>729427.685</v>
      </c>
      <c r="E9" s="54" t="n">
        <f aca="false">E8*'① 시장·가정'!C27</f>
        <v>855918.035</v>
      </c>
      <c r="F9" s="54" t="n">
        <f aca="false">F8*'① 시장·가정'!C27</f>
        <v>1458855.37</v>
      </c>
      <c r="G9" s="54" t="n">
        <f aca="false">G8*'① 시장·가정'!C27</f>
        <v>1585345.72</v>
      </c>
      <c r="H9" s="54" t="n">
        <f aca="false">H8*'① 시장·가정'!C27</f>
        <v>1711836.07</v>
      </c>
      <c r="I9" s="54" t="n">
        <f aca="false">I8*'① 시장·가정'!C27</f>
        <v>2314773.405</v>
      </c>
      <c r="J9" s="54" t="n">
        <f aca="false">J8*'① 시장·가정'!C27</f>
        <v>2441263.755</v>
      </c>
      <c r="K9" s="54" t="n">
        <f aca="false">K8*'① 시장·가정'!C27</f>
        <v>3044201.09</v>
      </c>
      <c r="L9" s="54" t="n">
        <f aca="false">L8*'① 시장·가정'!C27</f>
        <v>3170691.44</v>
      </c>
      <c r="M9" s="54" t="n">
        <f aca="false">M8*'① 시장·가정'!C27</f>
        <v>3297181.79</v>
      </c>
      <c r="N9" s="54" t="n">
        <f aca="false">N8*'① 시장·가정'!C27</f>
        <v>3900119.125</v>
      </c>
      <c r="O9" s="47" t="n">
        <f aca="false">N8*'① 시장·가정'!C27</f>
        <v>3900119.125</v>
      </c>
    </row>
    <row r="10" customFormat="false" ht="15" hidden="false" customHeight="true" outlineLevel="0" collapsed="false">
      <c r="B10" s="16" t="s">
        <v>94</v>
      </c>
      <c r="C10" s="47" t="n">
        <f aca="false">C9</f>
        <v>126490.35</v>
      </c>
      <c r="D10" s="47" t="n">
        <f aca="false">C10+D9</f>
        <v>855918.035</v>
      </c>
      <c r="E10" s="47" t="n">
        <f aca="false">D10+E9</f>
        <v>1711836.07</v>
      </c>
      <c r="F10" s="47" t="n">
        <f aca="false">E10+F9</f>
        <v>3170691.44</v>
      </c>
      <c r="G10" s="47" t="n">
        <f aca="false">F10+G9</f>
        <v>4756037.16</v>
      </c>
      <c r="H10" s="47" t="n">
        <f aca="false">G10+H9</f>
        <v>6467873.23</v>
      </c>
      <c r="I10" s="47" t="n">
        <f aca="false">H10+I9</f>
        <v>8782646.635</v>
      </c>
      <c r="J10" s="47" t="n">
        <f aca="false">I10+J9</f>
        <v>11223910.39</v>
      </c>
      <c r="K10" s="47" t="n">
        <f aca="false">J10+K9</f>
        <v>14268111.48</v>
      </c>
      <c r="L10" s="47" t="n">
        <f aca="false">K10+L9</f>
        <v>17438802.92</v>
      </c>
      <c r="M10" s="47" t="n">
        <f aca="false">L10+M9</f>
        <v>20735984.71</v>
      </c>
      <c r="N10" s="47" t="n">
        <f aca="false">M10+N9</f>
        <v>24636103.835</v>
      </c>
      <c r="O10" s="47" t="n">
        <f aca="false">N10</f>
        <v>24636103.835</v>
      </c>
    </row>
    <row r="11" customFormat="false" ht="15" hidden="false" customHeight="false" outlineLevel="0" collapsed="false"/>
    <row r="12" customFormat="false" ht="24" hidden="false" customHeight="true" outlineLevel="0" collapsed="false">
      <c r="B12" s="49" t="s">
        <v>95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customFormat="false" ht="15" hidden="false" customHeight="true" outlineLevel="0" collapsed="false">
      <c r="B13" s="4" t="s">
        <v>76</v>
      </c>
      <c r="C13" s="24" t="s">
        <v>77</v>
      </c>
      <c r="D13" s="24" t="s">
        <v>78</v>
      </c>
      <c r="E13" s="24" t="s">
        <v>79</v>
      </c>
      <c r="F13" s="24" t="s">
        <v>80</v>
      </c>
      <c r="G13" s="24" t="s">
        <v>81</v>
      </c>
      <c r="H13" s="24" t="s">
        <v>82</v>
      </c>
      <c r="I13" s="24" t="s">
        <v>83</v>
      </c>
      <c r="J13" s="24" t="s">
        <v>84</v>
      </c>
      <c r="K13" s="24" t="s">
        <v>85</v>
      </c>
      <c r="L13" s="24" t="s">
        <v>86</v>
      </c>
      <c r="M13" s="24" t="s">
        <v>87</v>
      </c>
      <c r="N13" s="24" t="s">
        <v>88</v>
      </c>
      <c r="O13" s="4" t="s">
        <v>89</v>
      </c>
    </row>
    <row r="14" customFormat="false" ht="15" hidden="false" customHeight="true" outlineLevel="0" collapsed="false">
      <c r="B14" s="5" t="s">
        <v>90</v>
      </c>
      <c r="C14" s="33" t="n">
        <v>5</v>
      </c>
      <c r="D14" s="33" t="n">
        <v>10</v>
      </c>
      <c r="E14" s="33" t="n">
        <v>15</v>
      </c>
      <c r="F14" s="33" t="n">
        <v>20</v>
      </c>
      <c r="G14" s="33" t="n">
        <v>25</v>
      </c>
      <c r="H14" s="33" t="n">
        <v>30</v>
      </c>
      <c r="I14" s="33" t="n">
        <v>35</v>
      </c>
      <c r="J14" s="33" t="n">
        <v>40</v>
      </c>
      <c r="K14" s="33" t="n">
        <v>45</v>
      </c>
      <c r="L14" s="33" t="n">
        <v>50</v>
      </c>
      <c r="M14" s="33" t="n">
        <v>55</v>
      </c>
      <c r="N14" s="33" t="n">
        <v>60</v>
      </c>
      <c r="O14" s="50" t="n">
        <f aca="false">N14</f>
        <v>60</v>
      </c>
    </row>
    <row r="15" customFormat="false" ht="15" hidden="false" customHeight="true" outlineLevel="0" collapsed="false">
      <c r="B15" s="51" t="s">
        <v>91</v>
      </c>
      <c r="C15" s="52" t="n">
        <f aca="false">ROUND(C14*'① 시장·가정'!C21,0)</f>
        <v>1</v>
      </c>
      <c r="D15" s="52" t="n">
        <f aca="false">ROUND(D14*'① 시장·가정'!C21,0)</f>
        <v>2</v>
      </c>
      <c r="E15" s="52" t="n">
        <f aca="false">ROUND(E14*'① 시장·가정'!C21,0)</f>
        <v>3</v>
      </c>
      <c r="F15" s="52" t="n">
        <f aca="false">ROUND(F14*'① 시장·가정'!C21,0)</f>
        <v>4</v>
      </c>
      <c r="G15" s="52" t="n">
        <f aca="false">ROUND(G14*'① 시장·가정'!C21,0)</f>
        <v>5</v>
      </c>
      <c r="H15" s="52" t="n">
        <f aca="false">ROUND(H14*'① 시장·가정'!C21,0)</f>
        <v>6</v>
      </c>
      <c r="I15" s="52" t="n">
        <f aca="false">ROUND(I14*'① 시장·가정'!C21,0)</f>
        <v>7</v>
      </c>
      <c r="J15" s="52" t="n">
        <f aca="false">ROUND(J14*'① 시장·가정'!C21,0)</f>
        <v>8</v>
      </c>
      <c r="K15" s="52" t="n">
        <f aca="false">ROUND(K14*'① 시장·가정'!C21,0)</f>
        <v>9</v>
      </c>
      <c r="L15" s="52" t="n">
        <f aca="false">ROUND(L14*'① 시장·가정'!C21,0)</f>
        <v>10</v>
      </c>
      <c r="M15" s="52" t="n">
        <f aca="false">ROUND(M14*'① 시장·가정'!C21,0)</f>
        <v>11</v>
      </c>
      <c r="N15" s="52" t="n">
        <f aca="false">ROUND(N14*'① 시장·가정'!C21,0)</f>
        <v>12</v>
      </c>
      <c r="O15" s="50" t="n">
        <f aca="false">ROUND(N14*'① 시장·가정'!C21,0)</f>
        <v>12</v>
      </c>
    </row>
    <row r="16" customFormat="false" ht="15" hidden="false" customHeight="true" outlineLevel="0" collapsed="false">
      <c r="B16" s="5" t="s">
        <v>92</v>
      </c>
      <c r="C16" s="42" t="n">
        <f aca="false">C15*'① 시장·가정'!C22*('① 시장·가정'!G15+'① 시장·가정'!C26*'① 시장·가정'!G16+'① 시장·가정'!C26*'① 시장·가정'!G17)+(C14-C15)*0.375*'① 시장·가정'!C23*('① 시장·가정'!G15+'① 시장·가정'!C26*'① 시장·가정'!G16+'① 시장·가정'!C26*'① 시장·가정'!G17)+(C14-C15)*0.625*'① 시장·가정'!C24*('① 시장·가정'!G15+'① 시장·가정'!C26*'① 시장·가정'!G16+'① 시장·가정'!C26*'① 시장·가정'!G17)</f>
        <v>566.1949</v>
      </c>
      <c r="D16" s="42" t="n">
        <f aca="false">D15*'① 시장·가정'!C22*('① 시장·가정'!G15+'① 시장·가정'!C26*'① 시장·가정'!G16+'① 시장·가정'!C26*'① 시장·가정'!G17)+(D14-D15)*0.375*'① 시장·가정'!C23*('① 시장·가정'!G15+'① 시장·가정'!C26*'① 시장·가정'!G16+'① 시장·가정'!C26*'① 시장·가정'!G17)+(D14-D15)*0.625*'① 시장·가정'!C24*('① 시장·가정'!G15+'① 시장·가정'!C26*'① 시장·가정'!G16+'① 시장·가정'!C26*'① 시장·가정'!G17)</f>
        <v>1132.3898</v>
      </c>
      <c r="E16" s="42" t="n">
        <f aca="false">E15*'① 시장·가정'!C22*('① 시장·가정'!G15+'① 시장·가정'!C26*'① 시장·가정'!G16+'① 시장·가정'!C26*'① 시장·가정'!G17)+(E14-E15)*0.375*'① 시장·가정'!C23*('① 시장·가정'!G15+'① 시장·가정'!C26*'① 시장·가정'!G16+'① 시장·가정'!C26*'① 시장·가정'!G17)+(E14-E15)*0.625*'① 시장·가정'!C24*('① 시장·가정'!G15+'① 시장·가정'!C26*'① 시장·가정'!G16+'① 시장·가정'!C26*'① 시장·가정'!G17)</f>
        <v>1698.5847</v>
      </c>
      <c r="F16" s="42" t="n">
        <f aca="false">F15*'① 시장·가정'!C22*('① 시장·가정'!G15+'① 시장·가정'!C26*'① 시장·가정'!G16+'① 시장·가정'!C26*'① 시장·가정'!G17)+(F14-F15)*0.375*'① 시장·가정'!C23*('① 시장·가정'!G15+'① 시장·가정'!C26*'① 시장·가정'!G16+'① 시장·가정'!C26*'① 시장·가정'!G17)+(F14-F15)*0.625*'① 시장·가정'!C24*('① 시장·가정'!G15+'① 시장·가정'!C26*'① 시장·가정'!G16+'① 시장·가정'!C26*'① 시장·가정'!G17)</f>
        <v>2264.7796</v>
      </c>
      <c r="G16" s="42" t="n">
        <f aca="false">G15*'① 시장·가정'!C22*('① 시장·가정'!G15+'① 시장·가정'!C26*'① 시장·가정'!G16+'① 시장·가정'!C26*'① 시장·가정'!G17)+(G14-G15)*0.375*'① 시장·가정'!C23*('① 시장·가정'!G15+'① 시장·가정'!C26*'① 시장·가정'!G16+'① 시장·가정'!C26*'① 시장·가정'!G17)+(G14-G15)*0.625*'① 시장·가정'!C24*('① 시장·가정'!G15+'① 시장·가정'!C26*'① 시장·가정'!G16+'① 시장·가정'!C26*'① 시장·가정'!G17)</f>
        <v>2830.9745</v>
      </c>
      <c r="H16" s="42" t="n">
        <f aca="false">H15*'① 시장·가정'!C22*('① 시장·가정'!G15+'① 시장·가정'!C26*'① 시장·가정'!G16+'① 시장·가정'!C26*'① 시장·가정'!G17)+(H14-H15)*0.375*'① 시장·가정'!C23*('① 시장·가정'!G15+'① 시장·가정'!C26*'① 시장·가정'!G16+'① 시장·가정'!C26*'① 시장·가정'!G17)+(H14-H15)*0.625*'① 시장·가정'!C24*('① 시장·가정'!G15+'① 시장·가정'!C26*'① 시장·가정'!G16+'① 시장·가정'!C26*'① 시장·가정'!G17)</f>
        <v>3397.1694</v>
      </c>
      <c r="I16" s="42" t="n">
        <f aca="false">I15*'① 시장·가정'!C22*('① 시장·가정'!G15+'① 시장·가정'!C26*'① 시장·가정'!G16+'① 시장·가정'!C26*'① 시장·가정'!G17)+(I14-I15)*0.375*'① 시장·가정'!C23*('① 시장·가정'!G15+'① 시장·가정'!C26*'① 시장·가정'!G16+'① 시장·가정'!C26*'① 시장·가정'!G17)+(I14-I15)*0.625*'① 시장·가정'!C24*('① 시장·가정'!G15+'① 시장·가정'!C26*'① 시장·가정'!G16+'① 시장·가정'!C26*'① 시장·가정'!G17)</f>
        <v>3963.3643</v>
      </c>
      <c r="J16" s="42" t="n">
        <f aca="false">J15*'① 시장·가정'!C22*('① 시장·가정'!G15+'① 시장·가정'!C26*'① 시장·가정'!G16+'① 시장·가정'!C26*'① 시장·가정'!G17)+(J14-J15)*0.375*'① 시장·가정'!C23*('① 시장·가정'!G15+'① 시장·가정'!C26*'① 시장·가정'!G16+'① 시장·가정'!C26*'① 시장·가정'!G17)+(J14-J15)*0.625*'① 시장·가정'!C24*('① 시장·가정'!G15+'① 시장·가정'!C26*'① 시장·가정'!G16+'① 시장·가정'!C26*'① 시장·가정'!G17)</f>
        <v>4529.5592</v>
      </c>
      <c r="K16" s="42" t="n">
        <f aca="false">K15*'① 시장·가정'!C22*('① 시장·가정'!G15+'① 시장·가정'!C26*'① 시장·가정'!G16+'① 시장·가정'!C26*'① 시장·가정'!G17)+(K14-K15)*0.375*'① 시장·가정'!C23*('① 시장·가정'!G15+'① 시장·가정'!C26*'① 시장·가정'!G16+'① 시장·가정'!C26*'① 시장·가정'!G17)+(K14-K15)*0.625*'① 시장·가정'!C24*('① 시장·가정'!G15+'① 시장·가정'!C26*'① 시장·가정'!G16+'① 시장·가정'!C26*'① 시장·가정'!G17)</f>
        <v>5095.7541</v>
      </c>
      <c r="L16" s="42" t="n">
        <f aca="false">L15*'① 시장·가정'!C22*('① 시장·가정'!G15+'① 시장·가정'!C26*'① 시장·가정'!G16+'① 시장·가정'!C26*'① 시장·가정'!G17)+(L14-L15)*0.375*'① 시장·가정'!C23*('① 시장·가정'!G15+'① 시장·가정'!C26*'① 시장·가정'!G16+'① 시장·가정'!C26*'① 시장·가정'!G17)+(L14-L15)*0.625*'① 시장·가정'!C24*('① 시장·가정'!G15+'① 시장·가정'!C26*'① 시장·가정'!G16+'① 시장·가정'!C26*'① 시장·가정'!G17)</f>
        <v>5661.949</v>
      </c>
      <c r="M16" s="42" t="n">
        <f aca="false">M15*'① 시장·가정'!C22*('① 시장·가정'!G15+'① 시장·가정'!C26*'① 시장·가정'!G16+'① 시장·가정'!C26*'① 시장·가정'!G17)+(M14-M15)*0.375*'① 시장·가정'!C23*('① 시장·가정'!G15+'① 시장·가정'!C26*'① 시장·가정'!G16+'① 시장·가정'!C26*'① 시장·가정'!G17)+(M14-M15)*0.625*'① 시장·가정'!C24*('① 시장·가정'!G15+'① 시장·가정'!C26*'① 시장·가정'!G16+'① 시장·가정'!C26*'① 시장·가정'!G17)</f>
        <v>6228.1439</v>
      </c>
      <c r="N16" s="42" t="n">
        <f aca="false">N15*'① 시장·가정'!C22*('① 시장·가정'!G15+'① 시장·가정'!C26*'① 시장·가정'!G16+'① 시장·가정'!C26*'① 시장·가정'!G17)+(N14-N15)*0.375*'① 시장·가정'!C23*('① 시장·가정'!G15+'① 시장·가정'!C26*'① 시장·가정'!G16+'① 시장·가정'!C26*'① 시장·가정'!G17)+(N14-N15)*0.625*'① 시장·가정'!C24*('① 시장·가정'!G15+'① 시장·가정'!C26*'① 시장·가정'!G16+'① 시장·가정'!C26*'① 시장·가정'!G17)</f>
        <v>6794.3388</v>
      </c>
      <c r="O16" s="46" t="n">
        <f aca="false">SUM(C16:N16)</f>
        <v>44163.2022</v>
      </c>
    </row>
    <row r="17" customFormat="false" ht="15" hidden="false" customHeight="true" outlineLevel="0" collapsed="false">
      <c r="B17" s="53" t="s">
        <v>93</v>
      </c>
      <c r="C17" s="54" t="n">
        <f aca="false">C16*'① 시장·가정'!C27</f>
        <v>792672.86</v>
      </c>
      <c r="D17" s="54" t="n">
        <f aca="false">D16*'① 시장·가정'!C27</f>
        <v>1585345.72</v>
      </c>
      <c r="E17" s="54" t="n">
        <f aca="false">E16*'① 시장·가정'!C27</f>
        <v>2378018.58</v>
      </c>
      <c r="F17" s="54" t="n">
        <f aca="false">F16*'① 시장·가정'!C27</f>
        <v>3170691.44</v>
      </c>
      <c r="G17" s="54" t="n">
        <f aca="false">G16*'① 시장·가정'!C27</f>
        <v>3963364.3</v>
      </c>
      <c r="H17" s="54" t="n">
        <f aca="false">H16*'① 시장·가정'!C27</f>
        <v>4756037.16</v>
      </c>
      <c r="I17" s="54" t="n">
        <f aca="false">I16*'① 시장·가정'!C27</f>
        <v>5548710.02</v>
      </c>
      <c r="J17" s="54" t="n">
        <f aca="false">J16*'① 시장·가정'!C27</f>
        <v>6341382.88</v>
      </c>
      <c r="K17" s="54" t="n">
        <f aca="false">K16*'① 시장·가정'!C27</f>
        <v>7134055.74</v>
      </c>
      <c r="L17" s="54" t="n">
        <f aca="false">L16*'① 시장·가정'!C27</f>
        <v>7926728.6</v>
      </c>
      <c r="M17" s="54" t="n">
        <f aca="false">M16*'① 시장·가정'!C27</f>
        <v>8719401.46</v>
      </c>
      <c r="N17" s="54" t="n">
        <f aca="false">N16*'① 시장·가정'!C27</f>
        <v>9512074.32</v>
      </c>
      <c r="O17" s="47" t="n">
        <f aca="false">N16*'① 시장·가정'!C27</f>
        <v>9512074.32</v>
      </c>
    </row>
    <row r="18" customFormat="false" ht="15" hidden="false" customHeight="true" outlineLevel="0" collapsed="false">
      <c r="B18" s="16" t="s">
        <v>94</v>
      </c>
      <c r="C18" s="47" t="n">
        <f aca="false">C17</f>
        <v>792672.86</v>
      </c>
      <c r="D18" s="47" t="n">
        <f aca="false">C18+D17</f>
        <v>2378018.58</v>
      </c>
      <c r="E18" s="47" t="n">
        <f aca="false">D18+E17</f>
        <v>4756037.16</v>
      </c>
      <c r="F18" s="47" t="n">
        <f aca="false">E18+F17</f>
        <v>7926728.6</v>
      </c>
      <c r="G18" s="47" t="n">
        <f aca="false">F18+G17</f>
        <v>11890092.9</v>
      </c>
      <c r="H18" s="47" t="n">
        <f aca="false">G18+H17</f>
        <v>16646130.06</v>
      </c>
      <c r="I18" s="47" t="n">
        <f aca="false">H18+I17</f>
        <v>22194840.08</v>
      </c>
      <c r="J18" s="47" t="n">
        <f aca="false">I18+J17</f>
        <v>28536222.96</v>
      </c>
      <c r="K18" s="47" t="n">
        <f aca="false">J18+K17</f>
        <v>35670278.7</v>
      </c>
      <c r="L18" s="47" t="n">
        <f aca="false">K18+L17</f>
        <v>43597007.3</v>
      </c>
      <c r="M18" s="47" t="n">
        <f aca="false">L18+M17</f>
        <v>52316408.76</v>
      </c>
      <c r="N18" s="47" t="n">
        <f aca="false">M18+N17</f>
        <v>61828483.08</v>
      </c>
      <c r="O18" s="47" t="n">
        <f aca="false">N18</f>
        <v>61828483.08</v>
      </c>
    </row>
    <row r="19" customFormat="false" ht="15" hidden="false" customHeight="false" outlineLevel="0" collapsed="false"/>
    <row r="20" customFormat="false" ht="24" hidden="false" customHeight="true" outlineLevel="0" collapsed="false">
      <c r="B20" s="49" t="s">
        <v>96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customFormat="false" ht="15" hidden="false" customHeight="true" outlineLevel="0" collapsed="false">
      <c r="B21" s="4" t="s">
        <v>76</v>
      </c>
      <c r="C21" s="24" t="s">
        <v>77</v>
      </c>
      <c r="D21" s="24" t="s">
        <v>78</v>
      </c>
      <c r="E21" s="24" t="s">
        <v>79</v>
      </c>
      <c r="F21" s="24" t="s">
        <v>80</v>
      </c>
      <c r="G21" s="24" t="s">
        <v>81</v>
      </c>
      <c r="H21" s="24" t="s">
        <v>82</v>
      </c>
      <c r="I21" s="24" t="s">
        <v>83</v>
      </c>
      <c r="J21" s="24" t="s">
        <v>84</v>
      </c>
      <c r="K21" s="24" t="s">
        <v>85</v>
      </c>
      <c r="L21" s="24" t="s">
        <v>86</v>
      </c>
      <c r="M21" s="24" t="s">
        <v>87</v>
      </c>
      <c r="N21" s="24" t="s">
        <v>88</v>
      </c>
      <c r="O21" s="4" t="s">
        <v>89</v>
      </c>
    </row>
    <row r="22" customFormat="false" ht="15" hidden="false" customHeight="true" outlineLevel="0" collapsed="false">
      <c r="B22" s="51" t="s">
        <v>90</v>
      </c>
      <c r="C22" s="33" t="n">
        <v>10</v>
      </c>
      <c r="D22" s="33" t="n">
        <v>20</v>
      </c>
      <c r="E22" s="33" t="n">
        <v>30</v>
      </c>
      <c r="F22" s="33" t="n">
        <v>40</v>
      </c>
      <c r="G22" s="33" t="n">
        <v>50</v>
      </c>
      <c r="H22" s="33" t="n">
        <v>60</v>
      </c>
      <c r="I22" s="33" t="n">
        <v>70</v>
      </c>
      <c r="J22" s="33" t="n">
        <v>80</v>
      </c>
      <c r="K22" s="33" t="n">
        <v>90</v>
      </c>
      <c r="L22" s="33" t="n">
        <v>100</v>
      </c>
      <c r="M22" s="33" t="n">
        <v>110</v>
      </c>
      <c r="N22" s="33" t="n">
        <v>120</v>
      </c>
      <c r="O22" s="50" t="n">
        <f aca="false">N22</f>
        <v>120</v>
      </c>
    </row>
    <row r="23" customFormat="false" ht="15" hidden="false" customHeight="true" outlineLevel="0" collapsed="false">
      <c r="B23" s="51" t="s">
        <v>91</v>
      </c>
      <c r="C23" s="52" t="n">
        <f aca="false">ROUND(C22*'① 시장·가정'!C21,0)</f>
        <v>2</v>
      </c>
      <c r="D23" s="52" t="n">
        <f aca="false">ROUND(D22*'① 시장·가정'!C21,0)</f>
        <v>4</v>
      </c>
      <c r="E23" s="52" t="n">
        <f aca="false">ROUND(E22*'① 시장·가정'!C21,0)</f>
        <v>6</v>
      </c>
      <c r="F23" s="52" t="n">
        <f aca="false">ROUND(F22*'① 시장·가정'!C21,0)</f>
        <v>8</v>
      </c>
      <c r="G23" s="52" t="n">
        <f aca="false">ROUND(G22*'① 시장·가정'!C21,0)</f>
        <v>10</v>
      </c>
      <c r="H23" s="52" t="n">
        <f aca="false">ROUND(H22*'① 시장·가정'!C21,0)</f>
        <v>12</v>
      </c>
      <c r="I23" s="52" t="n">
        <f aca="false">ROUND(I22*'① 시장·가정'!C21,0)</f>
        <v>14</v>
      </c>
      <c r="J23" s="52" t="n">
        <f aca="false">ROUND(J22*'① 시장·가정'!C21,0)</f>
        <v>16</v>
      </c>
      <c r="K23" s="52" t="n">
        <f aca="false">ROUND(K22*'① 시장·가정'!C21,0)</f>
        <v>18</v>
      </c>
      <c r="L23" s="52" t="n">
        <f aca="false">ROUND(L22*'① 시장·가정'!C21,0)</f>
        <v>20</v>
      </c>
      <c r="M23" s="52" t="n">
        <f aca="false">ROUND(M22*'① 시장·가정'!C21,0)</f>
        <v>22</v>
      </c>
      <c r="N23" s="52" t="n">
        <f aca="false">ROUND(N22*'① 시장·가정'!C21,0)</f>
        <v>24</v>
      </c>
      <c r="O23" s="50" t="n">
        <f aca="false">ROUND(N22*'① 시장·가정'!C21,0)</f>
        <v>24</v>
      </c>
    </row>
    <row r="24" customFormat="false" ht="15" hidden="false" customHeight="true" outlineLevel="0" collapsed="false">
      <c r="B24" s="5" t="s">
        <v>92</v>
      </c>
      <c r="C24" s="42" t="n">
        <f aca="false">C23*'① 시장·가정'!C22*('① 시장·가정'!G15+'① 시장·가정'!C26*'① 시장·가정'!G16+'① 시장·가정'!C26*'① 시장·가정'!G17)+(C22-C23)*0.375*'① 시장·가정'!C23*('① 시장·가정'!G15+'① 시장·가정'!C26*'① 시장·가정'!G16+'① 시장·가정'!C26*'① 시장·가정'!G17)+(C22-C23)*0.625*'① 시장·가정'!C24*('① 시장·가정'!G15+'① 시장·가정'!C26*'① 시장·가정'!G16+'① 시장·가정'!C26*'① 시장·가정'!G17)</f>
        <v>1132.3898</v>
      </c>
      <c r="D24" s="42" t="n">
        <f aca="false">D23*'① 시장·가정'!C22*('① 시장·가정'!G15+'① 시장·가정'!C26*'① 시장·가정'!G16+'① 시장·가정'!C26*'① 시장·가정'!G17)+(D22-D23)*0.375*'① 시장·가정'!C23*('① 시장·가정'!G15+'① 시장·가정'!C26*'① 시장·가정'!G16+'① 시장·가정'!C26*'① 시장·가정'!G17)+(D22-D23)*0.625*'① 시장·가정'!C24*('① 시장·가정'!G15+'① 시장·가정'!C26*'① 시장·가정'!G16+'① 시장·가정'!C26*'① 시장·가정'!G17)</f>
        <v>2264.7796</v>
      </c>
      <c r="E24" s="42" t="n">
        <f aca="false">E23*'① 시장·가정'!C22*('① 시장·가정'!G15+'① 시장·가정'!C26*'① 시장·가정'!G16+'① 시장·가정'!C26*'① 시장·가정'!G17)+(E22-E23)*0.375*'① 시장·가정'!C23*('① 시장·가정'!G15+'① 시장·가정'!C26*'① 시장·가정'!G16+'① 시장·가정'!C26*'① 시장·가정'!G17)+(E22-E23)*0.625*'① 시장·가정'!C24*('① 시장·가정'!G15+'① 시장·가정'!C26*'① 시장·가정'!G16+'① 시장·가정'!C26*'① 시장·가정'!G17)</f>
        <v>3397.1694</v>
      </c>
      <c r="F24" s="42" t="n">
        <f aca="false">F23*'① 시장·가정'!C22*('① 시장·가정'!G15+'① 시장·가정'!C26*'① 시장·가정'!G16+'① 시장·가정'!C26*'① 시장·가정'!G17)+(F22-F23)*0.375*'① 시장·가정'!C23*('① 시장·가정'!G15+'① 시장·가정'!C26*'① 시장·가정'!G16+'① 시장·가정'!C26*'① 시장·가정'!G17)+(F22-F23)*0.625*'① 시장·가정'!C24*('① 시장·가정'!G15+'① 시장·가정'!C26*'① 시장·가정'!G16+'① 시장·가정'!C26*'① 시장·가정'!G17)</f>
        <v>4529.5592</v>
      </c>
      <c r="G24" s="42" t="n">
        <f aca="false">G23*'① 시장·가정'!C22*('① 시장·가정'!G15+'① 시장·가정'!C26*'① 시장·가정'!G16+'① 시장·가정'!C26*'① 시장·가정'!G17)+(G22-G23)*0.375*'① 시장·가정'!C23*('① 시장·가정'!G15+'① 시장·가정'!C26*'① 시장·가정'!G16+'① 시장·가정'!C26*'① 시장·가정'!G17)+(G22-G23)*0.625*'① 시장·가정'!C24*('① 시장·가정'!G15+'① 시장·가정'!C26*'① 시장·가정'!G16+'① 시장·가정'!C26*'① 시장·가정'!G17)</f>
        <v>5661.949</v>
      </c>
      <c r="H24" s="42" t="n">
        <f aca="false">H23*'① 시장·가정'!C22*('① 시장·가정'!G15+'① 시장·가정'!C26*'① 시장·가정'!G16+'① 시장·가정'!C26*'① 시장·가정'!G17)+(H22-H23)*0.375*'① 시장·가정'!C23*('① 시장·가정'!G15+'① 시장·가정'!C26*'① 시장·가정'!G16+'① 시장·가정'!C26*'① 시장·가정'!G17)+(H22-H23)*0.625*'① 시장·가정'!C24*('① 시장·가정'!G15+'① 시장·가정'!C26*'① 시장·가정'!G16+'① 시장·가정'!C26*'① 시장·가정'!G17)</f>
        <v>6794.3388</v>
      </c>
      <c r="I24" s="42" t="n">
        <f aca="false">I23*'① 시장·가정'!C22*('① 시장·가정'!G15+'① 시장·가정'!C26*'① 시장·가정'!G16+'① 시장·가정'!C26*'① 시장·가정'!G17)+(I22-I23)*0.375*'① 시장·가정'!C23*('① 시장·가정'!G15+'① 시장·가정'!C26*'① 시장·가정'!G16+'① 시장·가정'!C26*'① 시장·가정'!G17)+(I22-I23)*0.625*'① 시장·가정'!C24*('① 시장·가정'!G15+'① 시장·가정'!C26*'① 시장·가정'!G16+'① 시장·가정'!C26*'① 시장·가정'!G17)</f>
        <v>7926.7286</v>
      </c>
      <c r="J24" s="42" t="n">
        <f aca="false">J23*'① 시장·가정'!C22*('① 시장·가정'!G15+'① 시장·가정'!C26*'① 시장·가정'!G16+'① 시장·가정'!C26*'① 시장·가정'!G17)+(J22-J23)*0.375*'① 시장·가정'!C23*('① 시장·가정'!G15+'① 시장·가정'!C26*'① 시장·가정'!G16+'① 시장·가정'!C26*'① 시장·가정'!G17)+(J22-J23)*0.625*'① 시장·가정'!C24*('① 시장·가정'!G15+'① 시장·가정'!C26*'① 시장·가정'!G16+'① 시장·가정'!C26*'① 시장·가정'!G17)</f>
        <v>9059.1184</v>
      </c>
      <c r="K24" s="42" t="n">
        <f aca="false">K23*'① 시장·가정'!C22*('① 시장·가정'!G15+'① 시장·가정'!C26*'① 시장·가정'!G16+'① 시장·가정'!C26*'① 시장·가정'!G17)+(K22-K23)*0.375*'① 시장·가정'!C23*('① 시장·가정'!G15+'① 시장·가정'!C26*'① 시장·가정'!G16+'① 시장·가정'!C26*'① 시장·가정'!G17)+(K22-K23)*0.625*'① 시장·가정'!C24*('① 시장·가정'!G15+'① 시장·가정'!C26*'① 시장·가정'!G16+'① 시장·가정'!C26*'① 시장·가정'!G17)</f>
        <v>10191.5082</v>
      </c>
      <c r="L24" s="42" t="n">
        <f aca="false">L23*'① 시장·가정'!C22*('① 시장·가정'!G15+'① 시장·가정'!C26*'① 시장·가정'!G16+'① 시장·가정'!C26*'① 시장·가정'!G17)+(L22-L23)*0.375*'① 시장·가정'!C23*('① 시장·가정'!G15+'① 시장·가정'!C26*'① 시장·가정'!G16+'① 시장·가정'!C26*'① 시장·가정'!G17)+(L22-L23)*0.625*'① 시장·가정'!C24*('① 시장·가정'!G15+'① 시장·가정'!C26*'① 시장·가정'!G16+'① 시장·가정'!C26*'① 시장·가정'!G17)</f>
        <v>11323.898</v>
      </c>
      <c r="M24" s="42" t="n">
        <f aca="false">M23*'① 시장·가정'!C22*('① 시장·가정'!G15+'① 시장·가정'!C26*'① 시장·가정'!G16+'① 시장·가정'!C26*'① 시장·가정'!G17)+(M22-M23)*0.375*'① 시장·가정'!C23*('① 시장·가정'!G15+'① 시장·가정'!C26*'① 시장·가정'!G16+'① 시장·가정'!C26*'① 시장·가정'!G17)+(M22-M23)*0.625*'① 시장·가정'!C24*('① 시장·가정'!G15+'① 시장·가정'!C26*'① 시장·가정'!G16+'① 시장·가정'!C26*'① 시장·가정'!G17)</f>
        <v>12456.2878</v>
      </c>
      <c r="N24" s="42" t="n">
        <f aca="false">N23*'① 시장·가정'!C22*('① 시장·가정'!G15+'① 시장·가정'!C26*'① 시장·가정'!G16+'① 시장·가정'!C26*'① 시장·가정'!G17)+(N22-N23)*0.375*'① 시장·가정'!C23*('① 시장·가정'!G15+'① 시장·가정'!C26*'① 시장·가정'!G16+'① 시장·가정'!C26*'① 시장·가정'!G17)+(N22-N23)*0.625*'① 시장·가정'!C24*('① 시장·가정'!G15+'① 시장·가정'!C26*'① 시장·가정'!G16+'① 시장·가정'!C26*'① 시장·가정'!G17)</f>
        <v>13588.6776</v>
      </c>
      <c r="O24" s="46" t="n">
        <f aca="false">SUM(C24:N24)</f>
        <v>88326.4044</v>
      </c>
    </row>
    <row r="25" customFormat="false" ht="15" hidden="false" customHeight="true" outlineLevel="0" collapsed="false">
      <c r="B25" s="53" t="s">
        <v>93</v>
      </c>
      <c r="C25" s="54" t="n">
        <f aca="false">C24*'① 시장·가정'!C27</f>
        <v>1585345.72</v>
      </c>
      <c r="D25" s="54" t="n">
        <f aca="false">D24*'① 시장·가정'!C27</f>
        <v>3170691.44</v>
      </c>
      <c r="E25" s="54" t="n">
        <f aca="false">E24*'① 시장·가정'!C27</f>
        <v>4756037.16</v>
      </c>
      <c r="F25" s="54" t="n">
        <f aca="false">F24*'① 시장·가정'!C27</f>
        <v>6341382.88</v>
      </c>
      <c r="G25" s="54" t="n">
        <f aca="false">G24*'① 시장·가정'!C27</f>
        <v>7926728.6</v>
      </c>
      <c r="H25" s="54" t="n">
        <f aca="false">H24*'① 시장·가정'!C27</f>
        <v>9512074.32</v>
      </c>
      <c r="I25" s="54" t="n">
        <f aca="false">I24*'① 시장·가정'!C27</f>
        <v>11097420.04</v>
      </c>
      <c r="J25" s="54" t="n">
        <f aca="false">J24*'① 시장·가정'!C27</f>
        <v>12682765.76</v>
      </c>
      <c r="K25" s="54" t="n">
        <f aca="false">K24*'① 시장·가정'!C27</f>
        <v>14268111.48</v>
      </c>
      <c r="L25" s="54" t="n">
        <f aca="false">L24*'① 시장·가정'!C27</f>
        <v>15853457.2</v>
      </c>
      <c r="M25" s="54" t="n">
        <f aca="false">M24*'① 시장·가정'!C27</f>
        <v>17438802.92</v>
      </c>
      <c r="N25" s="54" t="n">
        <f aca="false">N24*'① 시장·가정'!C27</f>
        <v>19024148.64</v>
      </c>
      <c r="O25" s="47" t="n">
        <f aca="false">N24*'① 시장·가정'!C27</f>
        <v>19024148.64</v>
      </c>
    </row>
    <row r="26" customFormat="false" ht="15" hidden="false" customHeight="true" outlineLevel="0" collapsed="false">
      <c r="B26" s="16" t="s">
        <v>94</v>
      </c>
      <c r="C26" s="47" t="n">
        <f aca="false">C25</f>
        <v>1585345.72</v>
      </c>
      <c r="D26" s="47" t="n">
        <f aca="false">C26+D25</f>
        <v>4756037.16</v>
      </c>
      <c r="E26" s="47" t="n">
        <f aca="false">D26+E25</f>
        <v>9512074.32</v>
      </c>
      <c r="F26" s="47" t="n">
        <f aca="false">E26+F25</f>
        <v>15853457.2</v>
      </c>
      <c r="G26" s="47" t="n">
        <f aca="false">F26+G25</f>
        <v>23780185.8</v>
      </c>
      <c r="H26" s="47" t="n">
        <f aca="false">G26+H25</f>
        <v>33292260.12</v>
      </c>
      <c r="I26" s="47" t="n">
        <f aca="false">H26+I25</f>
        <v>44389680.16</v>
      </c>
      <c r="J26" s="47" t="n">
        <f aca="false">I26+J25</f>
        <v>57072445.92</v>
      </c>
      <c r="K26" s="47" t="n">
        <f aca="false">J26+K25</f>
        <v>71340557.4</v>
      </c>
      <c r="L26" s="47" t="n">
        <f aca="false">K26+L25</f>
        <v>87194014.6</v>
      </c>
      <c r="M26" s="47" t="n">
        <f aca="false">L26+M25</f>
        <v>104632817.52</v>
      </c>
      <c r="N26" s="47" t="n">
        <f aca="false">M26+N25</f>
        <v>123656966.16</v>
      </c>
      <c r="O26" s="47" t="n">
        <f aca="false">N26</f>
        <v>123656966.16</v>
      </c>
    </row>
    <row r="27" customFormat="false" ht="15" hidden="false" customHeight="false" outlineLevel="0" collapsed="false"/>
    <row r="28" customFormat="false" ht="24" hidden="false" customHeight="true" outlineLevel="0" collapsed="false">
      <c r="B28" s="49" t="s">
        <v>97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customFormat="false" ht="15" hidden="false" customHeight="true" outlineLevel="0" collapsed="false">
      <c r="B29" s="4" t="s">
        <v>76</v>
      </c>
      <c r="C29" s="24" t="s">
        <v>77</v>
      </c>
      <c r="D29" s="24" t="s">
        <v>78</v>
      </c>
      <c r="E29" s="24" t="s">
        <v>79</v>
      </c>
      <c r="F29" s="24" t="s">
        <v>80</v>
      </c>
      <c r="G29" s="24" t="s">
        <v>81</v>
      </c>
      <c r="H29" s="24" t="s">
        <v>82</v>
      </c>
      <c r="I29" s="24" t="s">
        <v>83</v>
      </c>
      <c r="J29" s="24" t="s">
        <v>84</v>
      </c>
      <c r="K29" s="24" t="s">
        <v>85</v>
      </c>
      <c r="L29" s="24" t="s">
        <v>86</v>
      </c>
      <c r="M29" s="24" t="s">
        <v>87</v>
      </c>
      <c r="N29" s="24" t="s">
        <v>88</v>
      </c>
      <c r="O29" s="4" t="s">
        <v>89</v>
      </c>
    </row>
    <row r="30" customFormat="false" ht="15" hidden="false" customHeight="true" outlineLevel="0" collapsed="false">
      <c r="B30" s="55" t="s">
        <v>90</v>
      </c>
      <c r="C30" s="33" t="n">
        <v>20</v>
      </c>
      <c r="D30" s="33" t="n">
        <v>40</v>
      </c>
      <c r="E30" s="33" t="n">
        <v>60</v>
      </c>
      <c r="F30" s="33" t="n">
        <v>80</v>
      </c>
      <c r="G30" s="33" t="n">
        <v>100</v>
      </c>
      <c r="H30" s="33" t="n">
        <v>120</v>
      </c>
      <c r="I30" s="33" t="n">
        <v>140</v>
      </c>
      <c r="J30" s="33" t="n">
        <v>160</v>
      </c>
      <c r="K30" s="33" t="n">
        <v>180</v>
      </c>
      <c r="L30" s="33" t="n">
        <v>200</v>
      </c>
      <c r="M30" s="33" t="n">
        <v>220</v>
      </c>
      <c r="N30" s="33" t="n">
        <v>240</v>
      </c>
      <c r="O30" s="50" t="n">
        <f aca="false">N30</f>
        <v>240</v>
      </c>
    </row>
    <row r="31" customFormat="false" ht="15" hidden="false" customHeight="true" outlineLevel="0" collapsed="false">
      <c r="B31" s="51" t="s">
        <v>91</v>
      </c>
      <c r="C31" s="52" t="n">
        <f aca="false">ROUND(C30*'① 시장·가정'!C21,0)</f>
        <v>4</v>
      </c>
      <c r="D31" s="52" t="n">
        <f aca="false">ROUND(D30*'① 시장·가정'!C21,0)</f>
        <v>8</v>
      </c>
      <c r="E31" s="52" t="n">
        <f aca="false">ROUND(E30*'① 시장·가정'!C21,0)</f>
        <v>12</v>
      </c>
      <c r="F31" s="52" t="n">
        <f aca="false">ROUND(F30*'① 시장·가정'!C21,0)</f>
        <v>16</v>
      </c>
      <c r="G31" s="52" t="n">
        <f aca="false">ROUND(G30*'① 시장·가정'!C21,0)</f>
        <v>20</v>
      </c>
      <c r="H31" s="52" t="n">
        <f aca="false">ROUND(H30*'① 시장·가정'!C21,0)</f>
        <v>24</v>
      </c>
      <c r="I31" s="52" t="n">
        <f aca="false">ROUND(I30*'① 시장·가정'!C21,0)</f>
        <v>28</v>
      </c>
      <c r="J31" s="52" t="n">
        <f aca="false">ROUND(J30*'① 시장·가정'!C21,0)</f>
        <v>32</v>
      </c>
      <c r="K31" s="52" t="n">
        <f aca="false">ROUND(K30*'① 시장·가정'!C21,0)</f>
        <v>36</v>
      </c>
      <c r="L31" s="52" t="n">
        <f aca="false">ROUND(L30*'① 시장·가정'!C21,0)</f>
        <v>40</v>
      </c>
      <c r="M31" s="52" t="n">
        <f aca="false">ROUND(M30*'① 시장·가정'!C21,0)</f>
        <v>44</v>
      </c>
      <c r="N31" s="52" t="n">
        <f aca="false">ROUND(N30*'① 시장·가정'!C21,0)</f>
        <v>48</v>
      </c>
      <c r="O31" s="50" t="n">
        <f aca="false">ROUND(N30*'① 시장·가정'!C21,0)</f>
        <v>48</v>
      </c>
    </row>
    <row r="32" customFormat="false" ht="15" hidden="false" customHeight="true" outlineLevel="0" collapsed="false">
      <c r="B32" s="5" t="s">
        <v>92</v>
      </c>
      <c r="C32" s="42" t="n">
        <f aca="false">C31*'① 시장·가정'!C22*('① 시장·가정'!G15+'① 시장·가정'!C26*'① 시장·가정'!G16+'① 시장·가정'!C26*'① 시장·가정'!G17)+(C30-C31)*0.375*'① 시장·가정'!C23*('① 시장·가정'!G15+'① 시장·가정'!C26*'① 시장·가정'!G16+'① 시장·가정'!C26*'① 시장·가정'!G17)+(C30-C31)*0.625*'① 시장·가정'!C24*('① 시장·가정'!G15+'① 시장·가정'!C26*'① 시장·가정'!G16+'① 시장·가정'!C26*'① 시장·가정'!G17)</f>
        <v>2264.7796</v>
      </c>
      <c r="D32" s="42" t="n">
        <f aca="false">D31*'① 시장·가정'!C22*('① 시장·가정'!G15+'① 시장·가정'!C26*'① 시장·가정'!G16+'① 시장·가정'!C26*'① 시장·가정'!G17)+(D30-D31)*0.375*'① 시장·가정'!C23*('① 시장·가정'!G15+'① 시장·가정'!C26*'① 시장·가정'!G16+'① 시장·가정'!C26*'① 시장·가정'!G17)+(D30-D31)*0.625*'① 시장·가정'!C24*('① 시장·가정'!G15+'① 시장·가정'!C26*'① 시장·가정'!G16+'① 시장·가정'!C26*'① 시장·가정'!G17)</f>
        <v>4529.5592</v>
      </c>
      <c r="E32" s="42" t="n">
        <f aca="false">E31*'① 시장·가정'!C22*('① 시장·가정'!G15+'① 시장·가정'!C26*'① 시장·가정'!G16+'① 시장·가정'!C26*'① 시장·가정'!G17)+(E30-E31)*0.375*'① 시장·가정'!C23*('① 시장·가정'!G15+'① 시장·가정'!C26*'① 시장·가정'!G16+'① 시장·가정'!C26*'① 시장·가정'!G17)+(E30-E31)*0.625*'① 시장·가정'!C24*('① 시장·가정'!G15+'① 시장·가정'!C26*'① 시장·가정'!G16+'① 시장·가정'!C26*'① 시장·가정'!G17)</f>
        <v>6794.3388</v>
      </c>
      <c r="F32" s="42" t="n">
        <f aca="false">F31*'① 시장·가정'!C22*('① 시장·가정'!G15+'① 시장·가정'!C26*'① 시장·가정'!G16+'① 시장·가정'!C26*'① 시장·가정'!G17)+(F30-F31)*0.375*'① 시장·가정'!C23*('① 시장·가정'!G15+'① 시장·가정'!C26*'① 시장·가정'!G16+'① 시장·가정'!C26*'① 시장·가정'!G17)+(F30-F31)*0.625*'① 시장·가정'!C24*('① 시장·가정'!G15+'① 시장·가정'!C26*'① 시장·가정'!G16+'① 시장·가정'!C26*'① 시장·가정'!G17)</f>
        <v>9059.1184</v>
      </c>
      <c r="G32" s="42" t="n">
        <f aca="false">G31*'① 시장·가정'!C22*('① 시장·가정'!G15+'① 시장·가정'!C26*'① 시장·가정'!G16+'① 시장·가정'!C26*'① 시장·가정'!G17)+(G30-G31)*0.375*'① 시장·가정'!C23*('① 시장·가정'!G15+'① 시장·가정'!C26*'① 시장·가정'!G16+'① 시장·가정'!C26*'① 시장·가정'!G17)+(G30-G31)*0.625*'① 시장·가정'!C24*('① 시장·가정'!G15+'① 시장·가정'!C26*'① 시장·가정'!G16+'① 시장·가정'!C26*'① 시장·가정'!G17)</f>
        <v>11323.898</v>
      </c>
      <c r="H32" s="42" t="n">
        <f aca="false">H31*'① 시장·가정'!C22*('① 시장·가정'!G15+'① 시장·가정'!C26*'① 시장·가정'!G16+'① 시장·가정'!C26*'① 시장·가정'!G17)+(H30-H31)*0.375*'① 시장·가정'!C23*('① 시장·가정'!G15+'① 시장·가정'!C26*'① 시장·가정'!G16+'① 시장·가정'!C26*'① 시장·가정'!G17)+(H30-H31)*0.625*'① 시장·가정'!C24*('① 시장·가정'!G15+'① 시장·가정'!C26*'① 시장·가정'!G16+'① 시장·가정'!C26*'① 시장·가정'!G17)</f>
        <v>13588.6776</v>
      </c>
      <c r="I32" s="42" t="n">
        <f aca="false">I31*'① 시장·가정'!C22*('① 시장·가정'!G15+'① 시장·가정'!C26*'① 시장·가정'!G16+'① 시장·가정'!C26*'① 시장·가정'!G17)+(I30-I31)*0.375*'① 시장·가정'!C23*('① 시장·가정'!G15+'① 시장·가정'!C26*'① 시장·가정'!G16+'① 시장·가정'!C26*'① 시장·가정'!G17)+(I30-I31)*0.625*'① 시장·가정'!C24*('① 시장·가정'!G15+'① 시장·가정'!C26*'① 시장·가정'!G16+'① 시장·가정'!C26*'① 시장·가정'!G17)</f>
        <v>15853.4572</v>
      </c>
      <c r="J32" s="42" t="n">
        <f aca="false">J31*'① 시장·가정'!C22*('① 시장·가정'!G15+'① 시장·가정'!C26*'① 시장·가정'!G16+'① 시장·가정'!C26*'① 시장·가정'!G17)+(J30-J31)*0.375*'① 시장·가정'!C23*('① 시장·가정'!G15+'① 시장·가정'!C26*'① 시장·가정'!G16+'① 시장·가정'!C26*'① 시장·가정'!G17)+(J30-J31)*0.625*'① 시장·가정'!C24*('① 시장·가정'!G15+'① 시장·가정'!C26*'① 시장·가정'!G16+'① 시장·가정'!C26*'① 시장·가정'!G17)</f>
        <v>18118.2368</v>
      </c>
      <c r="K32" s="42" t="n">
        <f aca="false">K31*'① 시장·가정'!C22*('① 시장·가정'!G15+'① 시장·가정'!C26*'① 시장·가정'!G16+'① 시장·가정'!C26*'① 시장·가정'!G17)+(K30-K31)*0.375*'① 시장·가정'!C23*('① 시장·가정'!G15+'① 시장·가정'!C26*'① 시장·가정'!G16+'① 시장·가정'!C26*'① 시장·가정'!G17)+(K30-K31)*0.625*'① 시장·가정'!C24*('① 시장·가정'!G15+'① 시장·가정'!C26*'① 시장·가정'!G16+'① 시장·가정'!C26*'① 시장·가정'!G17)</f>
        <v>20383.0164</v>
      </c>
      <c r="L32" s="42" t="n">
        <f aca="false">L31*'① 시장·가정'!C22*('① 시장·가정'!G15+'① 시장·가정'!C26*'① 시장·가정'!G16+'① 시장·가정'!C26*'① 시장·가정'!G17)+(L30-L31)*0.375*'① 시장·가정'!C23*('① 시장·가정'!G15+'① 시장·가정'!C26*'① 시장·가정'!G16+'① 시장·가정'!C26*'① 시장·가정'!G17)+(L30-L31)*0.625*'① 시장·가정'!C24*('① 시장·가정'!G15+'① 시장·가정'!C26*'① 시장·가정'!G16+'① 시장·가정'!C26*'① 시장·가정'!G17)</f>
        <v>22647.796</v>
      </c>
      <c r="M32" s="42" t="n">
        <f aca="false">M31*'① 시장·가정'!C22*('① 시장·가정'!G15+'① 시장·가정'!C26*'① 시장·가정'!G16+'① 시장·가정'!C26*'① 시장·가정'!G17)+(M30-M31)*0.375*'① 시장·가정'!C23*('① 시장·가정'!G15+'① 시장·가정'!C26*'① 시장·가정'!G16+'① 시장·가정'!C26*'① 시장·가정'!G17)+(M30-M31)*0.625*'① 시장·가정'!C24*('① 시장·가정'!G15+'① 시장·가정'!C26*'① 시장·가정'!G16+'① 시장·가정'!C26*'① 시장·가정'!G17)</f>
        <v>24912.5756</v>
      </c>
      <c r="N32" s="42" t="n">
        <f aca="false">N31*'① 시장·가정'!C22*('① 시장·가정'!G15+'① 시장·가정'!C26*'① 시장·가정'!G16+'① 시장·가정'!C26*'① 시장·가정'!G17)+(N30-N31)*0.375*'① 시장·가정'!C23*('① 시장·가정'!G15+'① 시장·가정'!C26*'① 시장·가정'!G16+'① 시장·가정'!C26*'① 시장·가정'!G17)+(N30-N31)*0.625*'① 시장·가정'!C24*('① 시장·가정'!G15+'① 시장·가정'!C26*'① 시장·가정'!G16+'① 시장·가정'!C26*'① 시장·가정'!G17)</f>
        <v>27177.3552</v>
      </c>
      <c r="O32" s="46" t="n">
        <f aca="false">SUM(C32:N32)</f>
        <v>176652.8088</v>
      </c>
    </row>
    <row r="33" customFormat="false" ht="15" hidden="false" customHeight="true" outlineLevel="0" collapsed="false">
      <c r="B33" s="53" t="s">
        <v>93</v>
      </c>
      <c r="C33" s="54" t="n">
        <f aca="false">C32*'① 시장·가정'!C27</f>
        <v>3170691.44</v>
      </c>
      <c r="D33" s="54" t="n">
        <f aca="false">D32*'① 시장·가정'!C27</f>
        <v>6341382.88</v>
      </c>
      <c r="E33" s="54" t="n">
        <f aca="false">E32*'① 시장·가정'!C27</f>
        <v>9512074.32</v>
      </c>
      <c r="F33" s="54" t="n">
        <f aca="false">F32*'① 시장·가정'!C27</f>
        <v>12682765.76</v>
      </c>
      <c r="G33" s="54" t="n">
        <f aca="false">G32*'① 시장·가정'!C27</f>
        <v>15853457.2</v>
      </c>
      <c r="H33" s="54" t="n">
        <f aca="false">H32*'① 시장·가정'!C27</f>
        <v>19024148.64</v>
      </c>
      <c r="I33" s="54" t="n">
        <f aca="false">I32*'① 시장·가정'!C27</f>
        <v>22194840.08</v>
      </c>
      <c r="J33" s="54" t="n">
        <f aca="false">J32*'① 시장·가정'!C27</f>
        <v>25365531.52</v>
      </c>
      <c r="K33" s="54" t="n">
        <f aca="false">K32*'① 시장·가정'!C27</f>
        <v>28536222.96</v>
      </c>
      <c r="L33" s="54" t="n">
        <f aca="false">L32*'① 시장·가정'!C27</f>
        <v>31706914.4</v>
      </c>
      <c r="M33" s="54" t="n">
        <f aca="false">M32*'① 시장·가정'!C27</f>
        <v>34877605.84</v>
      </c>
      <c r="N33" s="54" t="n">
        <f aca="false">N32*'① 시장·가정'!C27</f>
        <v>38048297.28</v>
      </c>
      <c r="O33" s="47" t="n">
        <f aca="false">N32*'① 시장·가정'!C27</f>
        <v>38048297.28</v>
      </c>
    </row>
    <row r="34" customFormat="false" ht="15" hidden="false" customHeight="true" outlineLevel="0" collapsed="false">
      <c r="B34" s="16" t="s">
        <v>94</v>
      </c>
      <c r="C34" s="47" t="n">
        <f aca="false">C33</f>
        <v>3170691.44</v>
      </c>
      <c r="D34" s="47" t="n">
        <f aca="false">C34+D33</f>
        <v>9512074.32</v>
      </c>
      <c r="E34" s="47" t="n">
        <f aca="false">D34+E33</f>
        <v>19024148.64</v>
      </c>
      <c r="F34" s="47" t="n">
        <f aca="false">E34+F33</f>
        <v>31706914.4</v>
      </c>
      <c r="G34" s="47" t="n">
        <f aca="false">F34+G33</f>
        <v>47560371.6</v>
      </c>
      <c r="H34" s="47" t="n">
        <f aca="false">G34+H33</f>
        <v>66584520.24</v>
      </c>
      <c r="I34" s="47" t="n">
        <f aca="false">H34+I33</f>
        <v>88779360.32</v>
      </c>
      <c r="J34" s="47" t="n">
        <f aca="false">I34+J33</f>
        <v>114144891.84</v>
      </c>
      <c r="K34" s="47" t="n">
        <f aca="false">J34+K33</f>
        <v>142681114.8</v>
      </c>
      <c r="L34" s="47" t="n">
        <f aca="false">K34+L33</f>
        <v>174388029.2</v>
      </c>
      <c r="M34" s="47" t="n">
        <f aca="false">L34+M33</f>
        <v>209265635.04</v>
      </c>
      <c r="N34" s="47" t="n">
        <f aca="false">M34+N33</f>
        <v>247313932.32</v>
      </c>
      <c r="O34" s="47" t="n">
        <f aca="false">N34</f>
        <v>247313932.32</v>
      </c>
    </row>
  </sheetData>
  <mergeCells count="6">
    <mergeCell ref="B1:O1"/>
    <mergeCell ref="B2:O2"/>
    <mergeCell ref="B4:P4"/>
    <mergeCell ref="B12:P12"/>
    <mergeCell ref="B20:P20"/>
    <mergeCell ref="B28:P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9" min="4" style="1" width="18"/>
  </cols>
  <sheetData>
    <row r="1" customFormat="false" ht="30" hidden="false" customHeight="true" outlineLevel="0" collapsed="false">
      <c r="B1" s="37" t="s">
        <v>98</v>
      </c>
      <c r="C1" s="37"/>
      <c r="D1" s="37"/>
      <c r="E1" s="37"/>
      <c r="F1" s="37"/>
      <c r="G1" s="37"/>
      <c r="H1" s="37"/>
      <c r="I1" s="37"/>
      <c r="J1" s="37"/>
    </row>
    <row r="2" customFormat="false" ht="18" hidden="false" customHeight="true" outlineLevel="0" collapsed="false">
      <c r="B2" s="56" t="s">
        <v>99</v>
      </c>
      <c r="C2" s="56"/>
      <c r="D2" s="56"/>
      <c r="E2" s="56"/>
      <c r="F2" s="56"/>
      <c r="G2" s="56"/>
      <c r="H2" s="56"/>
      <c r="I2" s="56"/>
      <c r="J2" s="56"/>
    </row>
    <row r="3" customFormat="false" ht="6" hidden="false" customHeight="true" outlineLevel="0" collapsed="false"/>
    <row r="4" customFormat="false" ht="18" hidden="false" customHeight="true" outlineLevel="0" collapsed="false">
      <c r="B4" s="3" t="s">
        <v>100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B5" s="4" t="s">
        <v>101</v>
      </c>
      <c r="C5" s="4" t="s">
        <v>102</v>
      </c>
      <c r="D5" s="24" t="s">
        <v>103</v>
      </c>
      <c r="E5" s="24" t="s">
        <v>104</v>
      </c>
      <c r="F5" s="24" t="s">
        <v>105</v>
      </c>
      <c r="G5" s="24" t="s">
        <v>106</v>
      </c>
      <c r="H5" s="4" t="s">
        <v>107</v>
      </c>
      <c r="I5" s="4" t="s">
        <v>108</v>
      </c>
    </row>
    <row r="6" customFormat="false" ht="15" hidden="false" customHeight="true" outlineLevel="0" collapsed="false">
      <c r="B6" s="13" t="s">
        <v>109</v>
      </c>
      <c r="C6" s="57" t="n">
        <v>2</v>
      </c>
      <c r="D6" s="58" t="n">
        <f aca="false">'③ 1년 성장 시뮬'!N6</f>
        <v>24</v>
      </c>
      <c r="E6" s="59" t="n">
        <f aca="false">'③ 1년 성장 시뮬'!C9</f>
        <v>126490.35</v>
      </c>
      <c r="F6" s="59" t="n">
        <f aca="false">'③ 1년 성장 시뮬'!H9</f>
        <v>1711836.07</v>
      </c>
      <c r="G6" s="59" t="n">
        <f aca="false">'③ 1년 성장 시뮬'!N9</f>
        <v>3900119.125</v>
      </c>
      <c r="H6" s="59" t="n">
        <f aca="false">'③ 1년 성장 시뮬'!N10</f>
        <v>24636103.835</v>
      </c>
      <c r="I6" s="59" t="n">
        <f aca="false">H6/12</f>
        <v>2053008.65291667</v>
      </c>
    </row>
    <row r="7" customFormat="false" ht="15" hidden="false" customHeight="true" outlineLevel="0" collapsed="false">
      <c r="B7" s="5" t="s">
        <v>110</v>
      </c>
      <c r="C7" s="57" t="n">
        <v>5</v>
      </c>
      <c r="D7" s="60" t="n">
        <f aca="false">'③ 1년 성장 시뮬'!N14</f>
        <v>60</v>
      </c>
      <c r="E7" s="61" t="n">
        <f aca="false">'③ 1년 성장 시뮬'!C17</f>
        <v>792672.86</v>
      </c>
      <c r="F7" s="61" t="n">
        <f aca="false">'③ 1년 성장 시뮬'!H17</f>
        <v>4756037.16</v>
      </c>
      <c r="G7" s="61" t="n">
        <f aca="false">'③ 1년 성장 시뮬'!N17</f>
        <v>9512074.32</v>
      </c>
      <c r="H7" s="61" t="n">
        <f aca="false">'③ 1년 성장 시뮬'!N18</f>
        <v>61828483.08</v>
      </c>
      <c r="I7" s="61" t="n">
        <f aca="false">H7/12</f>
        <v>5152373.59</v>
      </c>
    </row>
    <row r="8" customFormat="false" ht="15" hidden="false" customHeight="true" outlineLevel="0" collapsed="false">
      <c r="B8" s="51" t="s">
        <v>111</v>
      </c>
      <c r="C8" s="57" t="n">
        <v>10</v>
      </c>
      <c r="D8" s="62" t="n">
        <f aca="false">'③ 1년 성장 시뮬'!N22</f>
        <v>120</v>
      </c>
      <c r="E8" s="63" t="n">
        <f aca="false">'③ 1년 성장 시뮬'!C25</f>
        <v>1585345.72</v>
      </c>
      <c r="F8" s="63" t="n">
        <f aca="false">'③ 1년 성장 시뮬'!H25</f>
        <v>9512074.32</v>
      </c>
      <c r="G8" s="63" t="n">
        <f aca="false">'③ 1년 성장 시뮬'!N25</f>
        <v>19024148.64</v>
      </c>
      <c r="H8" s="63" t="n">
        <f aca="false">'③ 1년 성장 시뮬'!N26</f>
        <v>123656966.16</v>
      </c>
      <c r="I8" s="63" t="n">
        <f aca="false">H8/12</f>
        <v>10304747.18</v>
      </c>
    </row>
    <row r="9" customFormat="false" ht="15" hidden="false" customHeight="true" outlineLevel="0" collapsed="false">
      <c r="B9" s="55" t="s">
        <v>112</v>
      </c>
      <c r="C9" s="57" t="n">
        <v>20</v>
      </c>
      <c r="D9" s="64" t="n">
        <f aca="false">'③ 1년 성장 시뮬'!N30</f>
        <v>240</v>
      </c>
      <c r="E9" s="65" t="n">
        <f aca="false">'③ 1년 성장 시뮬'!C33</f>
        <v>3170691.44</v>
      </c>
      <c r="F9" s="65" t="n">
        <f aca="false">'③ 1년 성장 시뮬'!H33</f>
        <v>19024148.64</v>
      </c>
      <c r="G9" s="65" t="n">
        <f aca="false">'③ 1년 성장 시뮬'!N33</f>
        <v>38048297.28</v>
      </c>
      <c r="H9" s="65" t="n">
        <f aca="false">'③ 1년 성장 시뮬'!N34</f>
        <v>247313932.32</v>
      </c>
      <c r="I9" s="65" t="n">
        <f aca="false">H9/12</f>
        <v>20609494.36</v>
      </c>
    </row>
    <row r="10" customFormat="false" ht="6" hidden="false" customHeight="true" outlineLevel="0" collapsed="false"/>
    <row r="11" customFormat="false" ht="18" hidden="false" customHeight="true" outlineLevel="0" collapsed="false">
      <c r="B11" s="3" t="s">
        <v>113</v>
      </c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B12" s="4" t="s">
        <v>3</v>
      </c>
      <c r="C12" s="4" t="s">
        <v>4</v>
      </c>
      <c r="D12" s="4" t="s">
        <v>53</v>
      </c>
      <c r="E12" s="4" t="s">
        <v>114</v>
      </c>
      <c r="F12" s="4" t="s">
        <v>115</v>
      </c>
      <c r="G12" s="4" t="s">
        <v>116</v>
      </c>
    </row>
    <row r="13" customFormat="false" ht="15" hidden="false" customHeight="true" outlineLevel="0" collapsed="false">
      <c r="B13" s="5" t="s">
        <v>58</v>
      </c>
      <c r="C13" s="6" t="s">
        <v>12</v>
      </c>
      <c r="D13" s="38" t="n">
        <f aca="false">'② 시장별 수익 분해'!E15</f>
        <v>871.62978</v>
      </c>
      <c r="E13" s="42" t="n">
        <f aca="false">'② 시장별 수익 분해'!F15</f>
        <v>2900.84536</v>
      </c>
      <c r="F13" s="43" t="n">
        <f aca="false">'② 시장별 수익 분해'!G15</f>
        <v>4061183.504</v>
      </c>
      <c r="G13" s="11" t="n">
        <f aca="false">'② 시장별 수익 분해'!H15</f>
        <v>0.256170212765958</v>
      </c>
    </row>
    <row r="14" customFormat="false" ht="15" hidden="false" customHeight="true" outlineLevel="0" collapsed="false">
      <c r="B14" s="5" t="s">
        <v>59</v>
      </c>
      <c r="C14" s="6" t="s">
        <v>12</v>
      </c>
      <c r="D14" s="38" t="n">
        <f aca="false">'② 시장별 수익 분해'!E16</f>
        <v>344.59782</v>
      </c>
      <c r="E14" s="42" t="n">
        <f aca="false">'② 시장별 수익 분해'!F16</f>
        <v>1146.84584</v>
      </c>
      <c r="F14" s="43" t="n">
        <f aca="false">'② 시장별 수익 분해'!G16</f>
        <v>1605584.176</v>
      </c>
      <c r="G14" s="11" t="n">
        <f aca="false">'② 시장별 수익 분해'!H16</f>
        <v>0.101276595744681</v>
      </c>
    </row>
    <row r="15" customFormat="false" ht="15" hidden="false" customHeight="true" outlineLevel="0" collapsed="false">
      <c r="B15" s="5" t="s">
        <v>60</v>
      </c>
      <c r="C15" s="6" t="s">
        <v>12</v>
      </c>
      <c r="D15" s="38" t="n">
        <f aca="false">'② 시장별 수익 분해'!E17</f>
        <v>153.47634</v>
      </c>
      <c r="E15" s="42" t="n">
        <f aca="false">'② 시장별 수익 분해'!F17</f>
        <v>510.78008</v>
      </c>
      <c r="F15" s="43" t="n">
        <f aca="false">'② 시장별 수익 분해'!G17</f>
        <v>715092.112</v>
      </c>
      <c r="G15" s="11" t="n">
        <f aca="false">'② 시장별 수익 분해'!H17</f>
        <v>0.0451063829787234</v>
      </c>
    </row>
    <row r="16" customFormat="false" ht="15" hidden="false" customHeight="true" outlineLevel="0" collapsed="false">
      <c r="B16" s="5" t="s">
        <v>61</v>
      </c>
      <c r="C16" s="6" t="s">
        <v>12</v>
      </c>
      <c r="D16" s="38" t="n">
        <f aca="false">'② 시장별 수익 분해'!E18</f>
        <v>489.38682</v>
      </c>
      <c r="E16" s="42" t="n">
        <f aca="false">'② 시장별 수익 분해'!F18</f>
        <v>1628.71384</v>
      </c>
      <c r="F16" s="43" t="n">
        <f aca="false">'② 시장별 수익 분해'!G18</f>
        <v>2280199.376</v>
      </c>
      <c r="G16" s="11" t="n">
        <f aca="false">'② 시장별 수익 분해'!H18</f>
        <v>0.143829787234043</v>
      </c>
    </row>
    <row r="17" customFormat="false" ht="15" hidden="false" customHeight="true" outlineLevel="0" collapsed="false">
      <c r="B17" s="13" t="s">
        <v>62</v>
      </c>
      <c r="C17" s="14" t="s">
        <v>21</v>
      </c>
      <c r="D17" s="40" t="n">
        <f aca="false">'② 시장별 수익 분해'!E19</f>
        <v>1543.45074</v>
      </c>
      <c r="E17" s="44" t="n">
        <f aca="false">'② 시장별 수익 분해'!F19</f>
        <v>5136.71288</v>
      </c>
      <c r="F17" s="45" t="n">
        <f aca="false">'② 시장별 수익 분해'!G19</f>
        <v>7191398.032</v>
      </c>
      <c r="G17" s="15" t="n">
        <f aca="false">'② 시장별 수익 분해'!H19</f>
        <v>0.453617021276596</v>
      </c>
    </row>
    <row r="18" customFormat="false" ht="15" hidden="false" customHeight="true" outlineLevel="0" collapsed="false">
      <c r="B18" s="16" t="s">
        <v>63</v>
      </c>
      <c r="C18" s="17"/>
      <c r="D18" s="50" t="n">
        <f aca="false">SUM(D13:D17)</f>
        <v>3402.5415</v>
      </c>
      <c r="E18" s="46" t="n">
        <f aca="false">SUM(E13:E17)</f>
        <v>11323.898</v>
      </c>
      <c r="F18" s="47" t="n">
        <f aca="false">SUM(F13:F17)</f>
        <v>15853457.2</v>
      </c>
      <c r="G18" s="22" t="n">
        <f aca="false">SUM(G13:G17)</f>
        <v>1</v>
      </c>
    </row>
    <row r="19" customFormat="false" ht="6" hidden="false" customHeight="true" outlineLevel="0" collapsed="false"/>
    <row r="20" customFormat="false" ht="27.75" hidden="false" customHeight="true" outlineLevel="0" collapsed="false">
      <c r="B20" s="66" t="s">
        <v>117</v>
      </c>
      <c r="C20" s="66"/>
      <c r="D20" s="66"/>
      <c r="E20" s="66"/>
      <c r="F20" s="66"/>
      <c r="G20" s="66"/>
      <c r="H20" s="66"/>
      <c r="I20" s="66"/>
    </row>
    <row r="21" customFormat="false" ht="27.75" hidden="false" customHeight="true" outlineLevel="0" collapsed="false">
      <c r="B21" s="66"/>
      <c r="C21" s="66"/>
      <c r="D21" s="66"/>
      <c r="E21" s="66"/>
      <c r="F21" s="66"/>
      <c r="G21" s="66"/>
      <c r="H21" s="66"/>
      <c r="I21" s="66"/>
    </row>
    <row r="22" customFormat="false" ht="27.75" hidden="false" customHeight="true" outlineLevel="0" collapsed="false">
      <c r="B22" s="66"/>
      <c r="C22" s="66"/>
      <c r="D22" s="66"/>
      <c r="E22" s="66"/>
      <c r="F22" s="66"/>
      <c r="G22" s="66"/>
      <c r="H22" s="66"/>
      <c r="I22" s="66"/>
    </row>
  </sheetData>
  <mergeCells count="5">
    <mergeCell ref="B1:J1"/>
    <mergeCell ref="B2:J2"/>
    <mergeCell ref="B4:J4"/>
    <mergeCell ref="B11:J11"/>
    <mergeCell ref="B20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2026-02-22T12:23:38Z</dcterms:created>
  <dc:creator>openpyxl</dc:creator>
  <dc:description/>
  <dc:language>en-US</dc:language>
  <cp:lastModifiedBy/>
  <dcterms:modified xsi:type="dcterms:W3CDTF">2026-02-22T12:25:49Z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