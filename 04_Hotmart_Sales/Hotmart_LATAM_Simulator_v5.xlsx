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정값" sheetId="1" state="visible" r:id="rId3"/>
    <sheet name="국가별 시뮬레이션" sheetId="2" state="visible" r:id="rId4"/>
    <sheet name="시나리오 비교" sheetId="3" state="visible" r:id="rId5"/>
    <sheet name="유형별 대시보드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<sst xmlns="http://schemas.openxmlformats.org/spreadsheetml/2006/main" count="304" uniqueCount="201">
  <si>
    <r>
      <rPr>
        <b val="true"/>
        <sz val="13"/>
        <color rgb="FFFFFFFF"/>
        <rFont val="Arial"/>
        <family val="0"/>
        <charset val="1"/>
      </rPr>
      <t xml:space="preserve">☀ ShiningShadow SOLO — Hotmart </t>
    </r>
    <r>
      <rPr>
        <b val="true"/>
        <sz val="13"/>
        <color rgb="FFFFFFFF"/>
        <rFont val="Noto Sans CJK KR"/>
        <family val="2"/>
      </rPr>
      <t xml:space="preserve">스페인어판 수익 시뮬레이터 </t>
    </r>
    <r>
      <rPr>
        <b val="true"/>
        <sz val="13"/>
        <color rgb="FFFFFFFF"/>
        <rFont val="Arial"/>
        <family val="0"/>
        <charset val="1"/>
      </rPr>
      <t xml:space="preserve">v5  (</t>
    </r>
    <r>
      <rPr>
        <b val="true"/>
        <sz val="13"/>
        <color rgb="FFFFFFFF"/>
        <rFont val="Noto Sans CJK KR"/>
        <family val="2"/>
      </rPr>
      <t xml:space="preserve">멕시코</t>
    </r>
    <r>
      <rPr>
        <b val="true"/>
        <sz val="13"/>
        <color rgb="FFFFFFFF"/>
        <rFont val="Arial"/>
        <family val="0"/>
        <charset val="1"/>
      </rPr>
      <t xml:space="preserve">·</t>
    </r>
    <r>
      <rPr>
        <b val="true"/>
        <sz val="13"/>
        <color rgb="FFFFFFFF"/>
        <rFont val="Noto Sans CJK KR"/>
        <family val="2"/>
      </rPr>
      <t xml:space="preserve">콜롬비아</t>
    </r>
    <r>
      <rPr>
        <b val="true"/>
        <sz val="13"/>
        <color rgb="FFFFFFFF"/>
        <rFont val="Arial"/>
        <family val="0"/>
        <charset val="1"/>
      </rPr>
      <t xml:space="preserve">·</t>
    </r>
    <r>
      <rPr>
        <b val="true"/>
        <sz val="13"/>
        <color rgb="FFFFFFFF"/>
        <rFont val="Noto Sans CJK KR"/>
        <family val="2"/>
      </rPr>
      <t xml:space="preserve">칠레 </t>
    </r>
    <r>
      <rPr>
        <b val="true"/>
        <sz val="13"/>
        <color rgb="FFFFFFFF"/>
        <rFont val="Arial"/>
        <family val="0"/>
        <charset val="1"/>
      </rPr>
      <t xml:space="preserve">3</t>
    </r>
    <r>
      <rPr>
        <b val="true"/>
        <sz val="13"/>
        <color rgb="FFFFFFFF"/>
        <rFont val="Noto Sans CJK KR"/>
        <family val="2"/>
      </rPr>
      <t xml:space="preserve">국 집중</t>
    </r>
    <r>
      <rPr>
        <b val="true"/>
        <sz val="13"/>
        <color rgb="FFFFFFFF"/>
        <rFont val="Arial"/>
        <family val="0"/>
        <charset val="1"/>
      </rPr>
      <t xml:space="preserve">)</t>
    </r>
  </si>
  <si>
    <r>
      <rPr>
        <sz val="9"/>
        <color rgb="FF595959"/>
        <rFont val="Noto Sans CJK KR"/>
        <family val="2"/>
      </rPr>
      <t xml:space="preserve">🔵 파란색</t>
    </r>
    <r>
      <rPr>
        <sz val="9"/>
        <color rgb="FF595959"/>
        <rFont val="Arial"/>
        <family val="0"/>
        <charset val="1"/>
      </rPr>
      <t xml:space="preserve">=</t>
    </r>
    <r>
      <rPr>
        <sz val="9"/>
        <color rgb="FF595959"/>
        <rFont val="Noto Sans CJK KR"/>
        <family val="2"/>
      </rPr>
      <t xml:space="preserve">직접입력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KR"/>
        <family val="2"/>
      </rPr>
      <t xml:space="preserve">가정값</t>
    </r>
    <r>
      <rPr>
        <sz val="9"/>
        <color rgb="FF595959"/>
        <rFont val="Arial"/>
        <family val="0"/>
        <charset val="1"/>
      </rPr>
      <t xml:space="preserve">)  ⚫ </t>
    </r>
    <r>
      <rPr>
        <sz val="9"/>
        <color rgb="FF595959"/>
        <rFont val="Noto Sans CJK KR"/>
        <family val="2"/>
      </rPr>
      <t xml:space="preserve">검정</t>
    </r>
    <r>
      <rPr>
        <sz val="9"/>
        <color rgb="FF595959"/>
        <rFont val="Arial"/>
        <family val="0"/>
        <charset val="1"/>
      </rPr>
      <t xml:space="preserve">=</t>
    </r>
    <r>
      <rPr>
        <sz val="9"/>
        <color rgb="FF595959"/>
        <rFont val="Noto Sans CJK KR"/>
        <family val="2"/>
      </rPr>
      <t xml:space="preserve">자동계산  </t>
    </r>
    <r>
      <rPr>
        <sz val="9"/>
        <color rgb="FF595959"/>
        <rFont val="Arial"/>
        <family val="0"/>
        <charset val="1"/>
      </rPr>
      <t xml:space="preserve">|  </t>
    </r>
    <r>
      <rPr>
        <sz val="9"/>
        <color rgb="FF595959"/>
        <rFont val="Noto Sans CJK KR"/>
        <family val="2"/>
      </rPr>
      <t xml:space="preserve">가격 근거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Noto Sans CJK KR"/>
        <family val="2"/>
      </rPr>
      <t xml:space="preserve">시장 조사 스윗스팟 </t>
    </r>
    <r>
      <rPr>
        <sz val="9"/>
        <color rgb="FF595959"/>
        <rFont val="Arial"/>
        <family val="0"/>
        <charset val="1"/>
      </rPr>
      <t xml:space="preserve">(16P $29 </t>
    </r>
    <r>
      <rPr>
        <sz val="9"/>
        <color rgb="FF595959"/>
        <rFont val="Noto Sans CJK KR"/>
        <family val="2"/>
      </rPr>
      <t xml:space="preserve">이하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KR"/>
        <family val="2"/>
      </rPr>
      <t xml:space="preserve">충동구매 범위</t>
    </r>
    <r>
      <rPr>
        <sz val="9"/>
        <color rgb="FF595959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</si>
  <si>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KR"/>
        <family val="2"/>
      </rPr>
      <t xml:space="preserve">① 상품 가격 구조 — 스윗스팟 적용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스페인어판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</si>
  <si>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상품</t>
  </si>
  <si>
    <r>
      <rPr>
        <b val="true"/>
        <sz val="9"/>
        <color rgb="FFFFFFFF"/>
        <rFont val="Noto Sans CJK KR"/>
        <family val="2"/>
      </rPr>
      <t xml:space="preserve">가격 </t>
    </r>
    <r>
      <rPr>
        <b val="true"/>
        <sz val="9"/>
        <color rgb="FFFFFFFF"/>
        <rFont val="Arial"/>
        <family val="0"/>
        <charset val="1"/>
      </rPr>
      <t xml:space="preserve">(USD)</t>
    </r>
  </si>
  <si>
    <r>
      <rPr>
        <b val="true"/>
        <sz val="9"/>
        <color rgb="FFFFFFFF"/>
        <rFont val="Noto Sans CJK KR"/>
        <family val="2"/>
      </rPr>
      <t xml:space="preserve">근거 </t>
    </r>
    <r>
      <rPr>
        <b val="true"/>
        <sz val="9"/>
        <color rgb="FFFFFFFF"/>
        <rFont val="Arial"/>
        <family val="0"/>
        <charset val="1"/>
      </rPr>
      <t xml:space="preserve">/ </t>
    </r>
    <r>
      <rPr>
        <b val="true"/>
        <sz val="9"/>
        <color rgb="FFFFFFFF"/>
        <rFont val="Noto Sans CJK KR"/>
        <family val="2"/>
      </rPr>
      <t xml:space="preserve">포지셔닝</t>
    </r>
  </si>
  <si>
    <t xml:space="preserve">Tier 1 · Guía Básica + Apéndice A</t>
  </si>
  <si>
    <r>
      <rPr>
        <i val="true"/>
        <sz val="8"/>
        <color rgb="FF595959"/>
        <rFont val="Arial"/>
        <family val="0"/>
        <charset val="1"/>
      </rPr>
      <t xml:space="preserve">$15 · </t>
    </r>
    <r>
      <rPr>
        <i val="true"/>
        <sz val="8"/>
        <color rgb="FF595959"/>
        <rFont val="Noto Sans CJK KR"/>
        <family val="2"/>
      </rPr>
      <t xml:space="preserve">마이크로트랜잭션 한계선 </t>
    </r>
    <r>
      <rPr>
        <i val="true"/>
        <sz val="8"/>
        <color rgb="FF595959"/>
        <rFont val="Arial"/>
        <family val="0"/>
        <charset val="1"/>
      </rPr>
      <t xml:space="preserve">· </t>
    </r>
    <r>
      <rPr>
        <i val="true"/>
        <sz val="8"/>
        <color rgb="FF595959"/>
        <rFont val="Noto Sans CJK KR"/>
        <family val="2"/>
      </rPr>
      <t xml:space="preserve">충동구매 최적 </t>
    </r>
    <r>
      <rPr>
        <i val="true"/>
        <sz val="8"/>
        <color rgb="FF595959"/>
        <rFont val="Arial"/>
        <family val="0"/>
        <charset val="1"/>
      </rPr>
      <t xml:space="preserve">· </t>
    </r>
    <r>
      <rPr>
        <i val="true"/>
        <sz val="8"/>
        <color rgb="FF595959"/>
        <rFont val="Noto Sans CJK KR"/>
        <family val="2"/>
      </rPr>
      <t xml:space="preserve">月소득 </t>
    </r>
    <r>
      <rPr>
        <i val="true"/>
        <sz val="8"/>
        <color rgb="FF595959"/>
        <rFont val="Arial"/>
        <family val="0"/>
        <charset val="1"/>
      </rPr>
      <t xml:space="preserve">0.8~1.3%</t>
    </r>
  </si>
  <si>
    <r>
      <rPr>
        <sz val="9"/>
        <color rgb="FF000000"/>
        <rFont val="Arial"/>
        <family val="0"/>
        <charset val="1"/>
      </rPr>
      <t xml:space="preserve">Tier 2 · Guía Profunda (T1 </t>
    </r>
    <r>
      <rPr>
        <sz val="9"/>
        <color rgb="FF000000"/>
        <rFont val="Noto Sans CJK KR"/>
        <family val="2"/>
      </rPr>
      <t xml:space="preserve">포함 </t>
    </r>
    <r>
      <rPr>
        <sz val="9"/>
        <color rgb="FF000000"/>
        <rFont val="Arial"/>
        <family val="0"/>
        <charset val="1"/>
      </rPr>
      <t xml:space="preserve">+ B)</t>
    </r>
  </si>
  <si>
    <r>
      <rPr>
        <i val="true"/>
        <sz val="8"/>
        <color rgb="FF595959"/>
        <rFont val="Arial"/>
        <family val="0"/>
        <charset val="1"/>
      </rPr>
      <t xml:space="preserve">$27 · 16Personalities $29 </t>
    </r>
    <r>
      <rPr>
        <i val="true"/>
        <sz val="8"/>
        <color rgb="FF595959"/>
        <rFont val="Noto Sans CJK KR"/>
        <family val="2"/>
      </rPr>
      <t xml:space="preserve">바로 아래 </t>
    </r>
    <r>
      <rPr>
        <i val="true"/>
        <sz val="8"/>
        <color rgb="FF595959"/>
        <rFont val="Arial"/>
        <family val="0"/>
        <charset val="1"/>
      </rPr>
      <t xml:space="preserve">· '</t>
    </r>
    <r>
      <rPr>
        <i val="true"/>
        <sz val="8"/>
        <color rgb="FF595959"/>
        <rFont val="Noto Sans CJK KR"/>
        <family val="2"/>
      </rPr>
      <t xml:space="preserve">더 나은 선택</t>
    </r>
    <r>
      <rPr>
        <i val="true"/>
        <sz val="8"/>
        <color rgb="FF595959"/>
        <rFont val="Arial"/>
        <family val="0"/>
        <charset val="1"/>
      </rPr>
      <t xml:space="preserve">' </t>
    </r>
    <r>
      <rPr>
        <i val="true"/>
        <sz val="8"/>
        <color rgb="FF595959"/>
        <rFont val="Noto Sans CJK KR"/>
        <family val="2"/>
      </rPr>
      <t xml:space="preserve">포지셔닝</t>
    </r>
  </si>
  <si>
    <r>
      <rPr>
        <sz val="9"/>
        <color rgb="FF000000"/>
        <rFont val="Arial"/>
        <family val="0"/>
        <charset val="1"/>
      </rPr>
      <t xml:space="preserve">Tier 3 · Guía Maestra (T2 </t>
    </r>
    <r>
      <rPr>
        <sz val="9"/>
        <color rgb="FF000000"/>
        <rFont val="Noto Sans CJK KR"/>
        <family val="2"/>
      </rPr>
      <t xml:space="preserve">포함 </t>
    </r>
    <r>
      <rPr>
        <sz val="9"/>
        <color rgb="FF000000"/>
        <rFont val="Arial"/>
        <family val="0"/>
        <charset val="1"/>
      </rPr>
      <t xml:space="preserve">+ C)</t>
    </r>
  </si>
  <si>
    <r>
      <rPr>
        <i val="true"/>
        <sz val="8"/>
        <color rgb="FF595959"/>
        <rFont val="Arial"/>
        <family val="0"/>
        <charset val="1"/>
      </rPr>
      <t xml:space="preserve">$34 · Human Design </t>
    </r>
    <r>
      <rPr>
        <i val="true"/>
        <sz val="8"/>
        <color rgb="FF595959"/>
        <rFont val="Noto Sans CJK KR"/>
        <family val="2"/>
      </rPr>
      <t xml:space="preserve">리포트 </t>
    </r>
    <r>
      <rPr>
        <i val="true"/>
        <sz val="8"/>
        <color rgb="FF595959"/>
        <rFont val="Arial"/>
        <family val="0"/>
        <charset val="1"/>
      </rPr>
      <t xml:space="preserve">$35 </t>
    </r>
    <r>
      <rPr>
        <i val="true"/>
        <sz val="8"/>
        <color rgb="FF595959"/>
        <rFont val="Noto Sans CJK KR"/>
        <family val="2"/>
      </rPr>
      <t xml:space="preserve">수준 </t>
    </r>
    <r>
      <rPr>
        <i val="true"/>
        <sz val="8"/>
        <color rgb="FF595959"/>
        <rFont val="Arial"/>
        <family val="0"/>
        <charset val="1"/>
      </rPr>
      <t xml:space="preserve">· </t>
    </r>
    <r>
      <rPr>
        <i val="true"/>
        <sz val="8"/>
        <color rgb="FF595959"/>
        <rFont val="Noto Sans CJK KR"/>
        <family val="2"/>
      </rPr>
      <t xml:space="preserve">완전판 정당화</t>
    </r>
  </si>
  <si>
    <r>
      <rPr>
        <sz val="9"/>
        <color rgb="FF000000"/>
        <rFont val="Arial"/>
        <family val="0"/>
        <charset val="1"/>
      </rPr>
      <t xml:space="preserve">Reporte de Visión General (</t>
    </r>
    <r>
      <rPr>
        <sz val="9"/>
        <color rgb="FF000000"/>
        <rFont val="Noto Sans CJK KR"/>
        <family val="2"/>
      </rPr>
      <t xml:space="preserve">무료</t>
    </r>
    <r>
      <rPr>
        <sz val="9"/>
        <color rgb="FF000000"/>
        <rFont val="Arial"/>
        <family val="0"/>
        <charset val="1"/>
      </rPr>
      <t xml:space="preserve">)</t>
    </r>
  </si>
  <si>
    <r>
      <rPr>
        <i val="true"/>
        <sz val="8"/>
        <color rgb="FF595959"/>
        <rFont val="Arial"/>
        <family val="0"/>
        <charset val="1"/>
      </rPr>
      <t xml:space="preserve">FREE · </t>
    </r>
    <r>
      <rPr>
        <i val="true"/>
        <sz val="8"/>
        <color rgb="FF595959"/>
        <rFont val="Noto Sans CJK KR"/>
        <family val="2"/>
      </rPr>
      <t xml:space="preserve">이메일 수집 미끼 </t>
    </r>
    <r>
      <rPr>
        <i val="true"/>
        <sz val="8"/>
        <color rgb="FF595959"/>
        <rFont val="Arial"/>
        <family val="0"/>
        <charset val="1"/>
      </rPr>
      <t xml:space="preserve">· </t>
    </r>
    <r>
      <rPr>
        <i val="true"/>
        <sz val="8"/>
        <color rgb="FF595959"/>
        <rFont val="Noto Sans CJK KR"/>
        <family val="2"/>
      </rPr>
      <t xml:space="preserve">유형별 </t>
    </r>
    <r>
      <rPr>
        <i val="true"/>
        <sz val="8"/>
        <color rgb="FF595959"/>
        <rFont val="Arial"/>
        <family val="0"/>
        <charset val="1"/>
      </rPr>
      <t xml:space="preserve">PDF 8</t>
    </r>
    <r>
      <rPr>
        <i val="true"/>
        <sz val="8"/>
        <color rgb="FF595959"/>
        <rFont val="Noto Sans CJK KR"/>
        <family val="2"/>
      </rPr>
      <t xml:space="preserve">종</t>
    </r>
  </si>
  <si>
    <r>
      <rPr>
        <b val="true"/>
        <sz val="11"/>
        <color rgb="FFFFFFFF"/>
        <rFont val="Arial"/>
        <family val="0"/>
        <charset val="1"/>
      </rPr>
      <t xml:space="preserve">② Hotmart </t>
    </r>
    <r>
      <rPr>
        <b val="true"/>
        <sz val="11"/>
        <color rgb="FFFFFFFF"/>
        <rFont val="Noto Sans CJK KR"/>
        <family val="2"/>
      </rPr>
      <t xml:space="preserve">수수료 구조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확정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</si>
  <si>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항목</t>
  </si>
  <si>
    <t xml:space="preserve">값</t>
  </si>
  <si>
    <t xml:space="preserve">설명</t>
  </si>
  <si>
    <r>
      <rPr>
        <sz val="9"/>
        <color rgb="FF000000"/>
        <rFont val="Arial"/>
        <family val="0"/>
        <charset val="1"/>
      </rPr>
      <t xml:space="preserve">T1 </t>
    </r>
    <r>
      <rPr>
        <sz val="9"/>
        <color rgb="FF000000"/>
        <rFont val="Noto Sans CJK KR"/>
        <family val="2"/>
      </rPr>
      <t xml:space="preserve">수수료율 </t>
    </r>
    <r>
      <rPr>
        <sz val="9"/>
        <color rgb="FF000000"/>
        <rFont val="Arial"/>
        <family val="0"/>
        <charset val="1"/>
      </rPr>
      <t xml:space="preserve">($15 </t>
    </r>
    <r>
      <rPr>
        <sz val="9"/>
        <color rgb="FF000000"/>
        <rFont val="Noto Sans CJK KR"/>
        <family val="2"/>
      </rPr>
      <t xml:space="preserve">마이크로트랜잭션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</si>
  <si>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8"/>
        <color rgb="FF595959"/>
        <rFont val="Arial"/>
        <family val="0"/>
        <charset val="1"/>
      </rPr>
      <t xml:space="preserve">20% </t>
    </r>
    <r>
      <rPr>
        <sz val="8"/>
        <color rgb="FF595959"/>
        <rFont val="Noto Sans CJK KR"/>
        <family val="2"/>
      </rPr>
      <t xml:space="preserve">고정 </t>
    </r>
    <r>
      <rPr>
        <sz val="8"/>
        <color rgb="FF595959"/>
        <rFont val="Arial"/>
        <family val="0"/>
        <charset val="1"/>
      </rPr>
      <t xml:space="preserve">(≤$15)</t>
    </r>
  </si>
  <si>
    <r>
      <rPr>
        <sz val="9"/>
        <color rgb="FF000000"/>
        <rFont val="Arial"/>
        <family val="0"/>
        <charset val="1"/>
      </rPr>
      <t xml:space="preserve">T2 </t>
    </r>
    <r>
      <rPr>
        <sz val="9"/>
        <color rgb="FF000000"/>
        <rFont val="Noto Sans CJK KR"/>
        <family val="2"/>
      </rPr>
      <t xml:space="preserve">수수료율 </t>
    </r>
    <r>
      <rPr>
        <sz val="9"/>
        <color rgb="FF000000"/>
        <rFont val="Arial"/>
        <family val="0"/>
        <charset val="1"/>
      </rPr>
      <t xml:space="preserve">($27)</t>
    </r>
  </si>
  <si>
    <r>
      <rPr>
        <sz val="8"/>
        <color rgb="FF595959"/>
        <rFont val="Arial"/>
        <family val="0"/>
        <charset val="1"/>
      </rPr>
      <t xml:space="preserve">9.9% + $0.50 </t>
    </r>
    <r>
      <rPr>
        <sz val="8"/>
        <color rgb="FF595959"/>
        <rFont val="Noto Sans CJK KR"/>
        <family val="2"/>
      </rPr>
      <t xml:space="preserve">고정액</t>
    </r>
  </si>
  <si>
    <r>
      <rPr>
        <sz val="9"/>
        <color rgb="FF000000"/>
        <rFont val="Arial"/>
        <family val="0"/>
        <charset val="1"/>
      </rPr>
      <t xml:space="preserve">T3 </t>
    </r>
    <r>
      <rPr>
        <sz val="9"/>
        <color rgb="FF000000"/>
        <rFont val="Noto Sans CJK KR"/>
        <family val="2"/>
      </rPr>
      <t xml:space="preserve">수수료율 </t>
    </r>
    <r>
      <rPr>
        <sz val="9"/>
        <color rgb="FF000000"/>
        <rFont val="Arial"/>
        <family val="0"/>
        <charset val="1"/>
      </rPr>
      <t xml:space="preserve">($34)</t>
    </r>
  </si>
  <si>
    <r>
      <rPr>
        <sz val="9"/>
        <color rgb="FF000000"/>
        <rFont val="Noto Sans CJK KR"/>
        <family val="2"/>
      </rPr>
      <t xml:space="preserve">고정액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KR"/>
        <family val="2"/>
      </rPr>
      <t xml:space="preserve">건 </t>
    </r>
    <r>
      <rPr>
        <sz val="9"/>
        <color rgb="FF000000"/>
        <rFont val="Arial"/>
        <family val="0"/>
        <charset val="1"/>
      </rPr>
      <t xml:space="preserve">(T2·T3)</t>
    </r>
  </si>
  <si>
    <r>
      <rPr>
        <sz val="8"/>
        <color rgb="FF595959"/>
        <rFont val="Arial"/>
        <family val="0"/>
        <charset val="1"/>
      </rPr>
      <t xml:space="preserve">$0.50 </t>
    </r>
    <r>
      <rPr>
        <sz val="8"/>
        <color rgb="FF595959"/>
        <rFont val="Noto Sans CJK KR"/>
        <family val="2"/>
      </rPr>
      <t xml:space="preserve">추가 차감</t>
    </r>
  </si>
  <si>
    <t xml:space="preserve">③ 제휴 커미션 전략 — 시장 조사 스윗스팟</t>
  </si>
  <si>
    <t xml:space="preserve">티어</t>
  </si>
  <si>
    <t xml:space="preserve">커미션율</t>
  </si>
  <si>
    <r>
      <rPr>
        <b val="true"/>
        <sz val="9"/>
        <color rgb="FF1A1A1A"/>
        <rFont val="Noto Sans CJK KR"/>
        <family val="2"/>
      </rPr>
      <t xml:space="preserve">제휴사 실수령</t>
    </r>
    <r>
      <rPr>
        <b val="true"/>
        <sz val="9"/>
        <color rgb="FF1A1A1A"/>
        <rFont val="Arial"/>
        <family val="0"/>
        <charset val="1"/>
      </rPr>
      <t xml:space="preserve">/</t>
    </r>
    <r>
      <rPr>
        <b val="true"/>
        <sz val="9"/>
        <color rgb="FF1A1A1A"/>
        <rFont val="Noto Sans CJK KR"/>
        <family val="2"/>
      </rPr>
      <t xml:space="preserve">건</t>
    </r>
  </si>
  <si>
    <r>
      <rPr>
        <b val="true"/>
        <sz val="9"/>
        <color rgb="FF1A1A1A"/>
        <rFont val="Noto Sans CJK KR"/>
        <family val="2"/>
      </rPr>
      <t xml:space="preserve">민철님 직접</t>
    </r>
    <r>
      <rPr>
        <b val="true"/>
        <sz val="9"/>
        <color rgb="FF1A1A1A"/>
        <rFont val="Arial"/>
        <family val="0"/>
        <charset val="1"/>
      </rPr>
      <t xml:space="preserve">/</t>
    </r>
    <r>
      <rPr>
        <b val="true"/>
        <sz val="9"/>
        <color rgb="FF1A1A1A"/>
        <rFont val="Noto Sans CJK KR"/>
        <family val="2"/>
      </rPr>
      <t xml:space="preserve">건</t>
    </r>
  </si>
  <si>
    <t xml:space="preserve">전략</t>
  </si>
  <si>
    <r>
      <rPr>
        <sz val="9"/>
        <color rgb="FF000000"/>
        <rFont val="Arial"/>
        <family val="0"/>
        <charset val="1"/>
      </rPr>
      <t xml:space="preserve">T1 </t>
    </r>
    <r>
      <rPr>
        <sz val="9"/>
        <color rgb="FF000000"/>
        <rFont val="Noto Sans CJK KR"/>
        <family val="2"/>
      </rPr>
      <t xml:space="preserve">커미션율</t>
    </r>
  </si>
  <si>
    <r>
      <rPr>
        <i val="true"/>
        <sz val="8"/>
        <color rgb="FF595959"/>
        <rFont val="Noto Sans CJK KR"/>
        <family val="2"/>
      </rPr>
      <t xml:space="preserve">시장 최고 수준 → </t>
    </r>
    <r>
      <rPr>
        <i val="true"/>
        <sz val="8"/>
        <color rgb="FF595959"/>
        <rFont val="Arial"/>
        <family val="0"/>
        <charset val="1"/>
      </rPr>
      <t xml:space="preserve">'</t>
    </r>
    <r>
      <rPr>
        <i val="true"/>
        <sz val="8"/>
        <color rgb="FF595959"/>
        <rFont val="Noto Sans CJK KR"/>
        <family val="2"/>
      </rPr>
      <t xml:space="preserve">눈 돌아가서</t>
    </r>
    <r>
      <rPr>
        <i val="true"/>
        <sz val="8"/>
        <color rgb="FF595959"/>
        <rFont val="Arial"/>
        <family val="0"/>
        <charset val="1"/>
      </rPr>
      <t xml:space="preserve">' </t>
    </r>
    <r>
      <rPr>
        <i val="true"/>
        <sz val="8"/>
        <color rgb="FF595959"/>
        <rFont val="Noto Sans CJK KR"/>
        <family val="2"/>
      </rPr>
      <t xml:space="preserve">제휴사 폭발 홍보</t>
    </r>
  </si>
  <si>
    <r>
      <rPr>
        <sz val="9"/>
        <color rgb="FF000000"/>
        <rFont val="Arial"/>
        <family val="0"/>
        <charset val="1"/>
      </rPr>
      <t xml:space="preserve">T2 </t>
    </r>
    <r>
      <rPr>
        <sz val="9"/>
        <color rgb="FF000000"/>
        <rFont val="Noto Sans CJK KR"/>
        <family val="2"/>
      </rPr>
      <t xml:space="preserve">커미션율</t>
    </r>
  </si>
  <si>
    <r>
      <rPr>
        <i val="true"/>
        <sz val="8"/>
        <color rgb="FF595959"/>
        <rFont val="Arial"/>
        <family val="0"/>
        <charset val="1"/>
      </rPr>
      <t xml:space="preserve">45% · </t>
    </r>
    <r>
      <rPr>
        <i val="true"/>
        <sz val="8"/>
        <color rgb="FF595959"/>
        <rFont val="Noto Sans CJK KR"/>
        <family val="2"/>
      </rPr>
      <t xml:space="preserve">가격 올려도 실수령 ↑</t>
    </r>
  </si>
  <si>
    <r>
      <rPr>
        <sz val="9"/>
        <color rgb="FF000000"/>
        <rFont val="Arial"/>
        <family val="0"/>
        <charset val="1"/>
      </rPr>
      <t xml:space="preserve">T3 </t>
    </r>
    <r>
      <rPr>
        <sz val="9"/>
        <color rgb="FF000000"/>
        <rFont val="Noto Sans CJK KR"/>
        <family val="2"/>
      </rPr>
      <t xml:space="preserve">커미션율</t>
    </r>
  </si>
  <si>
    <r>
      <rPr>
        <i val="true"/>
        <sz val="8"/>
        <color rgb="FF595959"/>
        <rFont val="Arial"/>
        <family val="0"/>
        <charset val="1"/>
      </rPr>
      <t xml:space="preserve">40% · $34 </t>
    </r>
    <r>
      <rPr>
        <i val="true"/>
        <sz val="8"/>
        <color rgb="FF595959"/>
        <rFont val="Noto Sans CJK KR"/>
        <family val="2"/>
      </rPr>
      <t xml:space="preserve">기준 제휴사 </t>
    </r>
    <r>
      <rPr>
        <i val="true"/>
        <sz val="8"/>
        <color rgb="FF595959"/>
        <rFont val="Arial"/>
        <family val="0"/>
        <charset val="1"/>
      </rPr>
      <t xml:space="preserve">$13.3/</t>
    </r>
    <r>
      <rPr>
        <i val="true"/>
        <sz val="8"/>
        <color rgb="FF595959"/>
        <rFont val="Noto Sans CJK KR"/>
        <family val="2"/>
      </rPr>
      <t xml:space="preserve">건</t>
    </r>
  </si>
  <si>
    <r>
      <rPr>
        <b val="true"/>
        <sz val="11"/>
        <color rgb="FFFFFFFF"/>
        <rFont val="Noto Sans CJK KR"/>
        <family val="2"/>
      </rPr>
      <t xml:space="preserve">④ 제휴 경유 비중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티어별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</si>
  <si>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제휴 비중</t>
  </si>
  <si>
    <t xml:space="preserve">직접 비중</t>
  </si>
  <si>
    <t xml:space="preserve">전략 이유</t>
  </si>
  <si>
    <r>
      <rPr>
        <sz val="9"/>
        <color rgb="FF000000"/>
        <rFont val="Arial"/>
        <family val="0"/>
        <charset val="1"/>
      </rPr>
      <t xml:space="preserve">T1 </t>
    </r>
    <r>
      <rPr>
        <sz val="9"/>
        <color rgb="FF000000"/>
        <rFont val="Noto Sans CJK KR"/>
        <family val="2"/>
      </rPr>
      <t xml:space="preserve">제휴 경유 비중</t>
    </r>
  </si>
  <si>
    <r>
      <rPr>
        <sz val="8"/>
        <color rgb="FF595959"/>
        <rFont val="Arial"/>
        <family val="0"/>
        <charset val="1"/>
      </rPr>
      <t xml:space="preserve">T1 70%</t>
    </r>
    <r>
      <rPr>
        <sz val="8"/>
        <color rgb="FF595959"/>
        <rFont val="Noto Sans CJK KR"/>
        <family val="2"/>
      </rPr>
      <t xml:space="preserve">로 제휴사 폭발 → 이메일 리스트 대규모 확보</t>
    </r>
  </si>
  <si>
    <r>
      <rPr>
        <sz val="9"/>
        <color rgb="FF000000"/>
        <rFont val="Arial"/>
        <family val="0"/>
        <charset val="1"/>
      </rPr>
      <t xml:space="preserve">T2 </t>
    </r>
    <r>
      <rPr>
        <sz val="9"/>
        <color rgb="FF000000"/>
        <rFont val="Noto Sans CJK KR"/>
        <family val="2"/>
      </rPr>
      <t xml:space="preserve">제휴 경유 비중</t>
    </r>
  </si>
  <si>
    <r>
      <rPr>
        <sz val="8"/>
        <color rgb="FF595959"/>
        <rFont val="Noto Sans CJK KR"/>
        <family val="2"/>
      </rPr>
      <t xml:space="preserve">이메일 직접 업셀 </t>
    </r>
    <r>
      <rPr>
        <sz val="8"/>
        <color rgb="FF595959"/>
        <rFont val="Arial"/>
        <family val="0"/>
        <charset val="1"/>
      </rPr>
      <t xml:space="preserve">70% → </t>
    </r>
    <r>
      <rPr>
        <sz val="8"/>
        <color rgb="FF595959"/>
        <rFont val="Noto Sans CJK KR"/>
        <family val="2"/>
      </rPr>
      <t xml:space="preserve">민철님 몫 극대화</t>
    </r>
  </si>
  <si>
    <r>
      <rPr>
        <sz val="9"/>
        <color rgb="FF000000"/>
        <rFont val="Arial"/>
        <family val="0"/>
        <charset val="1"/>
      </rPr>
      <t xml:space="preserve">T3 </t>
    </r>
    <r>
      <rPr>
        <sz val="9"/>
        <color rgb="FF000000"/>
        <rFont val="Noto Sans CJK KR"/>
        <family val="2"/>
      </rPr>
      <t xml:space="preserve">제휴 경유 비중</t>
    </r>
  </si>
  <si>
    <r>
      <rPr>
        <sz val="8"/>
        <color rgb="FF595959"/>
        <rFont val="Noto Sans CJK KR"/>
        <family val="2"/>
      </rPr>
      <t xml:space="preserve">충성 고객 직접 </t>
    </r>
    <r>
      <rPr>
        <sz val="8"/>
        <color rgb="FF595959"/>
        <rFont val="Arial"/>
        <family val="0"/>
        <charset val="1"/>
      </rPr>
      <t xml:space="preserve">90% → </t>
    </r>
    <r>
      <rPr>
        <sz val="8"/>
        <color rgb="FF595959"/>
        <rFont val="Noto Sans CJK KR"/>
        <family val="2"/>
      </rPr>
      <t xml:space="preserve">민철님 수익률 최고</t>
    </r>
  </si>
  <si>
    <r>
      <rPr>
        <b val="true"/>
        <sz val="11"/>
        <color rgb="FFFFFFFF"/>
        <rFont val="Arial"/>
        <family val="0"/>
        <charset val="1"/>
      </rPr>
      <t xml:space="preserve">⑤ 3</t>
    </r>
    <r>
      <rPr>
        <b val="true"/>
        <sz val="11"/>
        <color rgb="FFFFFFFF"/>
        <rFont val="Noto Sans CJK KR"/>
        <family val="2"/>
      </rPr>
      <t xml:space="preserve">국 퍼널 전환율 가정 — 국가별 차등 적용</t>
    </r>
  </si>
  <si>
    <t xml:space="preserve">멕시코🇲🇽</t>
  </si>
  <si>
    <t xml:space="preserve">콜롬비아🇨🇴</t>
  </si>
  <si>
    <t xml:space="preserve">칠레🇨🇱</t>
  </si>
  <si>
    <t xml:space="preserve">가중평균</t>
  </si>
  <si>
    <t xml:space="preserve">근거</t>
  </si>
  <si>
    <r>
      <rPr>
        <sz val="9"/>
        <color rgb="FF000000"/>
        <rFont val="Noto Sans CJK KR"/>
        <family val="2"/>
      </rPr>
      <t xml:space="preserve">월 </t>
    </r>
    <r>
      <rPr>
        <sz val="9"/>
        <color rgb="FF000000"/>
        <rFont val="Arial"/>
        <family val="0"/>
        <charset val="1"/>
      </rPr>
      <t xml:space="preserve">Shadowgram </t>
    </r>
    <r>
      <rPr>
        <sz val="9"/>
        <color rgb="FF000000"/>
        <rFont val="Noto Sans CJK KR"/>
        <family val="2"/>
      </rPr>
      <t xml:space="preserve">진단 완료 수</t>
    </r>
  </si>
  <si>
    <r>
      <rPr>
        <i val="true"/>
        <sz val="8"/>
        <color rgb="FF595959"/>
        <rFont val="Noto Sans CJK KR"/>
        <family val="2"/>
      </rPr>
      <t xml:space="preserve">멕시코 최대 시장</t>
    </r>
    <r>
      <rPr>
        <i val="true"/>
        <sz val="8"/>
        <color rgb="FF595959"/>
        <rFont val="Arial"/>
        <family val="0"/>
        <charset val="1"/>
      </rPr>
      <t xml:space="preserve">, </t>
    </r>
    <r>
      <rPr>
        <i val="true"/>
        <sz val="8"/>
        <color rgb="FF595959"/>
        <rFont val="Noto Sans CJK KR"/>
        <family val="2"/>
      </rPr>
      <t xml:space="preserve">칠레 구매력 최고</t>
    </r>
  </si>
  <si>
    <t xml:space="preserve">이메일 입력률</t>
  </si>
  <si>
    <r>
      <rPr>
        <i val="true"/>
        <sz val="8"/>
        <color rgb="FF595959"/>
        <rFont val="Arial"/>
        <family val="0"/>
        <charset val="1"/>
      </rPr>
      <t xml:space="preserve">WhatsApp </t>
    </r>
    <r>
      <rPr>
        <i val="true"/>
        <sz val="8"/>
        <color rgb="FF595959"/>
        <rFont val="Noto Sans CJK KR"/>
        <family val="2"/>
      </rPr>
      <t xml:space="preserve">강국 → 이메일 수집 적극</t>
    </r>
  </si>
  <si>
    <r>
      <rPr>
        <sz val="9"/>
        <color rgb="FF000000"/>
        <rFont val="Noto Sans CJK KR"/>
        <family val="2"/>
      </rPr>
      <t xml:space="preserve">무료개요 → </t>
    </r>
    <r>
      <rPr>
        <sz val="9"/>
        <color rgb="FF000000"/>
        <rFont val="Arial"/>
        <family val="0"/>
        <charset val="1"/>
      </rPr>
      <t xml:space="preserve">T1 </t>
    </r>
    <r>
      <rPr>
        <sz val="9"/>
        <color rgb="FF000000"/>
        <rFont val="Noto Sans CJK KR"/>
        <family val="2"/>
      </rPr>
      <t xml:space="preserve">전환율</t>
    </r>
  </si>
  <si>
    <r>
      <rPr>
        <i val="true"/>
        <sz val="8"/>
        <color rgb="FF595959"/>
        <rFont val="Noto Sans CJK KR"/>
        <family val="2"/>
      </rPr>
      <t xml:space="preserve">칠레 구매력↑ → </t>
    </r>
    <r>
      <rPr>
        <i val="true"/>
        <sz val="8"/>
        <color rgb="FF595959"/>
        <rFont val="Arial"/>
        <family val="0"/>
        <charset val="1"/>
      </rPr>
      <t xml:space="preserve">T1 </t>
    </r>
    <r>
      <rPr>
        <i val="true"/>
        <sz val="8"/>
        <color rgb="FF595959"/>
        <rFont val="Noto Sans CJK KR"/>
        <family val="2"/>
      </rPr>
      <t xml:space="preserve">전환 높음</t>
    </r>
  </si>
  <si>
    <r>
      <rPr>
        <sz val="9"/>
        <color rgb="FF000000"/>
        <rFont val="Arial"/>
        <family val="0"/>
        <charset val="1"/>
      </rPr>
      <t xml:space="preserve">T1 → T2 </t>
    </r>
    <r>
      <rPr>
        <sz val="9"/>
        <color rgb="FF000000"/>
        <rFont val="Noto Sans CJK KR"/>
        <family val="2"/>
      </rPr>
      <t xml:space="preserve">업셀율</t>
    </r>
  </si>
  <si>
    <r>
      <rPr>
        <i val="true"/>
        <sz val="8"/>
        <color rgb="FF595959"/>
        <rFont val="Noto Sans CJK KR"/>
        <family val="2"/>
      </rPr>
      <t xml:space="preserve">깜짝선물 </t>
    </r>
    <r>
      <rPr>
        <i val="true"/>
        <sz val="8"/>
        <color rgb="FF595959"/>
        <rFont val="Arial"/>
        <family val="0"/>
        <charset val="1"/>
      </rPr>
      <t xml:space="preserve">D+3 </t>
    </r>
    <r>
      <rPr>
        <i val="true"/>
        <sz val="8"/>
        <color rgb="FF595959"/>
        <rFont val="Noto Sans CJK KR"/>
        <family val="2"/>
      </rPr>
      <t xml:space="preserve">이메일 기준</t>
    </r>
  </si>
  <si>
    <r>
      <rPr>
        <sz val="9"/>
        <color rgb="FF000000"/>
        <rFont val="Arial"/>
        <family val="0"/>
        <charset val="1"/>
      </rPr>
      <t xml:space="preserve">T2 → T3 </t>
    </r>
    <r>
      <rPr>
        <sz val="9"/>
        <color rgb="FF000000"/>
        <rFont val="Noto Sans CJK KR"/>
        <family val="2"/>
      </rPr>
      <t xml:space="preserve">업셀율</t>
    </r>
  </si>
  <si>
    <r>
      <rPr>
        <i val="true"/>
        <sz val="8"/>
        <color rgb="FF595959"/>
        <rFont val="Arial"/>
        <family val="0"/>
        <charset val="1"/>
      </rPr>
      <t xml:space="preserve">$5 </t>
    </r>
    <r>
      <rPr>
        <i val="true"/>
        <sz val="8"/>
        <color rgb="FF595959"/>
        <rFont val="Noto Sans CJK KR"/>
        <family val="2"/>
      </rPr>
      <t xml:space="preserve">더 완전판 → 칠레 전환↑</t>
    </r>
  </si>
  <si>
    <r>
      <rPr>
        <sz val="9"/>
        <color rgb="FF000000"/>
        <rFont val="Noto Sans CJK KR"/>
        <family val="2"/>
      </rPr>
      <t xml:space="preserve">월 성장률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KR"/>
        <family val="2"/>
      </rPr>
      <t xml:space="preserve">바이럴 복리</t>
    </r>
    <r>
      <rPr>
        <sz val="9"/>
        <color rgb="FF000000"/>
        <rFont val="Arial"/>
        <family val="0"/>
        <charset val="1"/>
      </rPr>
      <t xml:space="preserve">)</t>
    </r>
  </si>
  <si>
    <r>
      <rPr>
        <i val="true"/>
        <sz val="8"/>
        <color rgb="FF595959"/>
        <rFont val="Arial"/>
        <family val="0"/>
        <charset val="1"/>
      </rPr>
      <t xml:space="preserve">personalismo </t>
    </r>
    <r>
      <rPr>
        <i val="true"/>
        <sz val="8"/>
        <color rgb="FF595959"/>
        <rFont val="Noto Sans CJK KR"/>
        <family val="2"/>
      </rPr>
      <t xml:space="preserve">문화 → </t>
    </r>
    <r>
      <rPr>
        <i val="true"/>
        <sz val="8"/>
        <color rgb="FF595959"/>
        <rFont val="Arial"/>
        <family val="0"/>
        <charset val="1"/>
      </rPr>
      <t xml:space="preserve">SNS </t>
    </r>
    <r>
      <rPr>
        <i val="true"/>
        <sz val="8"/>
        <color rgb="FF595959"/>
        <rFont val="Noto Sans CJK KR"/>
        <family val="2"/>
      </rPr>
      <t xml:space="preserve">공유</t>
    </r>
  </si>
  <si>
    <r>
      <rPr>
        <b val="true"/>
        <sz val="11"/>
        <color rgb="FFFFFFFF"/>
        <rFont val="Noto Sans CJK KR"/>
        <family val="2"/>
      </rPr>
      <t xml:space="preserve">⑥ 건당 수익 구조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자동계산 </t>
    </r>
    <r>
      <rPr>
        <b val="true"/>
        <sz val="11"/>
        <color rgb="FFFFFFFF"/>
        <rFont val="Arial"/>
        <family val="0"/>
        <charset val="1"/>
      </rPr>
      <t xml:space="preserve">· </t>
    </r>
    <r>
      <rPr>
        <b val="true"/>
        <sz val="11"/>
        <color rgb="FFFFFFFF"/>
        <rFont val="Noto Sans CJK KR"/>
        <family val="2"/>
      </rPr>
      <t xml:space="preserve">참조용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</si>
  <si>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판매가</t>
  </si>
  <si>
    <r>
      <rPr>
        <b val="true"/>
        <sz val="9"/>
        <color rgb="FFFFFFFF"/>
        <rFont val="Arial"/>
        <family val="0"/>
        <charset val="1"/>
      </rPr>
      <t xml:space="preserve">Hotmart </t>
    </r>
    <r>
      <rPr>
        <b val="true"/>
        <sz val="9"/>
        <color rgb="FFFFFFFF"/>
        <rFont val="Noto Sans CJK KR"/>
        <family val="2"/>
      </rPr>
      <t xml:space="preserve">차감</t>
    </r>
  </si>
  <si>
    <r>
      <rPr>
        <b val="true"/>
        <sz val="9"/>
        <color rgb="FFFFFFFF"/>
        <rFont val="Noto Sans CJK KR"/>
        <family val="2"/>
      </rPr>
      <t xml:space="preserve">순액 </t>
    </r>
    <r>
      <rPr>
        <b val="true"/>
        <sz val="9"/>
        <color rgb="FFFFFFFF"/>
        <rFont val="Arial"/>
        <family val="0"/>
        <charset val="1"/>
      </rPr>
      <t xml:space="preserve">(Net)</t>
    </r>
  </si>
  <si>
    <r>
      <rPr>
        <b val="true"/>
        <sz val="9"/>
        <color rgb="FFFFFFFF"/>
        <rFont val="Noto Sans CJK KR"/>
        <family val="2"/>
      </rPr>
      <t xml:space="preserve">제휴사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KR"/>
        <family val="2"/>
      </rPr>
      <t xml:space="preserve">건</t>
    </r>
  </si>
  <si>
    <r>
      <rPr>
        <b val="true"/>
        <sz val="9"/>
        <color rgb="FFFFFFFF"/>
        <rFont val="Noto Sans CJK KR"/>
        <family val="2"/>
      </rPr>
      <t xml:space="preserve">민철님 직접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KR"/>
        <family val="2"/>
      </rPr>
      <t xml:space="preserve">건</t>
    </r>
  </si>
  <si>
    <t xml:space="preserve">T1 · Guía Básica $15</t>
  </si>
  <si>
    <t xml:space="preserve">T2 · Guía Profunda $27</t>
  </si>
  <si>
    <t xml:space="preserve">T3 · Guía Maestra $34</t>
  </si>
  <si>
    <r>
      <rPr>
        <b val="true"/>
        <sz val="11"/>
        <color rgb="FFFFFFFF"/>
        <rFont val="Noto Sans CJK KR"/>
        <family val="2"/>
      </rPr>
      <t xml:space="preserve">⑦ 경쟁사 가격 비교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시장 조사 기준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</si>
  <si>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서비스</t>
  </si>
  <si>
    <r>
      <rPr>
        <b val="true"/>
        <sz val="9"/>
        <color rgb="FF000000"/>
        <rFont val="Arial"/>
        <family val="0"/>
        <charset val="1"/>
      </rPr>
      <t xml:space="preserve">T1 </t>
    </r>
    <r>
      <rPr>
        <b val="true"/>
        <sz val="9"/>
        <color rgb="FF000000"/>
        <rFont val="Noto Sans CJK KR"/>
        <family val="2"/>
      </rPr>
      <t xml:space="preserve">상당</t>
    </r>
  </si>
  <si>
    <r>
      <rPr>
        <b val="true"/>
        <sz val="9"/>
        <color rgb="FF000000"/>
        <rFont val="Arial"/>
        <family val="0"/>
        <charset val="1"/>
      </rPr>
      <t xml:space="preserve">T2 </t>
    </r>
    <r>
      <rPr>
        <b val="true"/>
        <sz val="9"/>
        <color rgb="FF000000"/>
        <rFont val="Noto Sans CJK KR"/>
        <family val="2"/>
      </rPr>
      <t xml:space="preserve">상당</t>
    </r>
  </si>
  <si>
    <r>
      <rPr>
        <b val="true"/>
        <sz val="9"/>
        <color rgb="FF000000"/>
        <rFont val="Arial"/>
        <family val="0"/>
        <charset val="1"/>
      </rPr>
      <t xml:space="preserve">T3 </t>
    </r>
    <r>
      <rPr>
        <b val="true"/>
        <sz val="9"/>
        <color rgb="FF000000"/>
        <rFont val="Noto Sans CJK KR"/>
        <family val="2"/>
      </rPr>
      <t xml:space="preserve">상당</t>
    </r>
  </si>
  <si>
    <t xml:space="preserve">비고</t>
  </si>
  <si>
    <t xml:space="preserve">16Personalities</t>
  </si>
  <si>
    <t xml:space="preserve">-</t>
  </si>
  <si>
    <t xml:space="preserve">$29</t>
  </si>
  <si>
    <t xml:space="preserve">$39</t>
  </si>
  <si>
    <t xml:space="preserve">Premium Career Suite</t>
  </si>
  <si>
    <t xml:space="preserve">Enneagram Institute</t>
  </si>
  <si>
    <t xml:space="preserve">$20</t>
  </si>
  <si>
    <r>
      <rPr>
        <sz val="9"/>
        <color rgb="FF000000"/>
        <rFont val="Arial"/>
        <family val="0"/>
        <charset val="1"/>
      </rPr>
      <t xml:space="preserve">RHETI </t>
    </r>
    <r>
      <rPr>
        <sz val="9"/>
        <color rgb="FF000000"/>
        <rFont val="Noto Sans CJK KR"/>
        <family val="2"/>
      </rPr>
      <t xml:space="preserve">단일 테스트</t>
    </r>
  </si>
  <si>
    <t xml:space="preserve">Human Design Report</t>
  </si>
  <si>
    <t xml:space="preserve">$35</t>
  </si>
  <si>
    <t xml:space="preserve">Comprehensive Report</t>
  </si>
  <si>
    <r>
      <rPr>
        <b val="true"/>
        <sz val="9"/>
        <color rgb="FF375623"/>
        <rFont val="Arial"/>
        <family val="0"/>
        <charset val="1"/>
      </rPr>
      <t xml:space="preserve">ShiningShadow (</t>
    </r>
    <r>
      <rPr>
        <b val="true"/>
        <sz val="9"/>
        <color rgb="FF375623"/>
        <rFont val="Noto Sans CJK KR"/>
        <family val="2"/>
      </rPr>
      <t xml:space="preserve">현재</t>
    </r>
    <r>
      <rPr>
        <b val="true"/>
        <sz val="9"/>
        <color rgb="FF375623"/>
        <rFont val="Arial"/>
        <family val="0"/>
        <charset val="1"/>
      </rPr>
      <t xml:space="preserve">)</t>
    </r>
  </si>
  <si>
    <t xml:space="preserve">$15✅</t>
  </si>
  <si>
    <t xml:space="preserve">$27✅</t>
  </si>
  <si>
    <t xml:space="preserve">$34✅</t>
  </si>
  <si>
    <r>
      <rPr>
        <b val="true"/>
        <sz val="9"/>
        <color rgb="FF375623"/>
        <rFont val="Arial"/>
        <family val="0"/>
        <charset val="1"/>
      </rPr>
      <t xml:space="preserve">16P</t>
    </r>
    <r>
      <rPr>
        <b val="true"/>
        <sz val="9"/>
        <color rgb="FF375623"/>
        <rFont val="Noto Sans CJK KR"/>
        <family val="2"/>
      </rPr>
      <t xml:space="preserve">보다 저렴 </t>
    </r>
    <r>
      <rPr>
        <b val="true"/>
        <sz val="9"/>
        <color rgb="FF375623"/>
        <rFont val="Arial"/>
        <family val="0"/>
        <charset val="1"/>
      </rPr>
      <t xml:space="preserve">+ </t>
    </r>
    <r>
      <rPr>
        <b val="true"/>
        <sz val="9"/>
        <color rgb="FF375623"/>
        <rFont val="Noto Sans CJK KR"/>
        <family val="2"/>
      </rPr>
      <t xml:space="preserve">깊이</t>
    </r>
  </si>
  <si>
    <r>
      <rPr>
        <b val="true"/>
        <sz val="9"/>
        <color rgb="FF375623"/>
        <rFont val="Arial"/>
        <family val="0"/>
        <charset val="1"/>
      </rPr>
      <t xml:space="preserve">💡 ShiningShadow T3 $34</t>
    </r>
    <r>
      <rPr>
        <b val="true"/>
        <sz val="9"/>
        <color rgb="FF375623"/>
        <rFont val="Noto Sans CJK KR"/>
        <family val="2"/>
      </rPr>
      <t xml:space="preserve">는 </t>
    </r>
    <r>
      <rPr>
        <b val="true"/>
        <sz val="9"/>
        <color rgb="FF375623"/>
        <rFont val="Arial"/>
        <family val="0"/>
        <charset val="1"/>
      </rPr>
      <t xml:space="preserve">16P </t>
    </r>
    <r>
      <rPr>
        <b val="true"/>
        <sz val="9"/>
        <color rgb="FF375623"/>
        <rFont val="Noto Sans CJK KR"/>
        <family val="2"/>
      </rPr>
      <t xml:space="preserve">프리미엄</t>
    </r>
    <r>
      <rPr>
        <b val="true"/>
        <sz val="9"/>
        <color rgb="FF375623"/>
        <rFont val="Arial"/>
        <family val="0"/>
        <charset val="1"/>
      </rPr>
      <t xml:space="preserve">($39)</t>
    </r>
    <r>
      <rPr>
        <b val="true"/>
        <sz val="9"/>
        <color rgb="FF375623"/>
        <rFont val="Noto Sans CJK KR"/>
        <family val="2"/>
      </rPr>
      <t xml:space="preserve">보다 저렴하면서 </t>
    </r>
    <r>
      <rPr>
        <b val="true"/>
        <sz val="9"/>
        <color rgb="FF375623"/>
        <rFont val="Arial"/>
        <family val="0"/>
        <charset val="1"/>
      </rPr>
      <t xml:space="preserve">Jung </t>
    </r>
    <r>
      <rPr>
        <b val="true"/>
        <sz val="9"/>
        <color rgb="FF375623"/>
        <rFont val="Noto Sans CJK KR"/>
        <family val="2"/>
      </rPr>
      <t xml:space="preserve">원전 기반 </t>
    </r>
    <r>
      <rPr>
        <b val="true"/>
        <sz val="9"/>
        <color rgb="FF375623"/>
        <rFont val="Arial"/>
        <family val="0"/>
        <charset val="1"/>
      </rPr>
      <t xml:space="preserve">'</t>
    </r>
    <r>
      <rPr>
        <b val="true"/>
        <sz val="9"/>
        <color rgb="FF375623"/>
        <rFont val="Noto Sans CJK KR"/>
        <family val="2"/>
      </rPr>
      <t xml:space="preserve">개성화 여정</t>
    </r>
    <r>
      <rPr>
        <b val="true"/>
        <sz val="9"/>
        <color rgb="FF375623"/>
        <rFont val="Arial"/>
        <family val="0"/>
        <charset val="1"/>
      </rPr>
      <t xml:space="preserve">' </t>
    </r>
    <r>
      <rPr>
        <b val="true"/>
        <sz val="9"/>
        <color rgb="FF375623"/>
        <rFont val="Noto Sans CJK KR"/>
        <family val="2"/>
      </rPr>
      <t xml:space="preserve">차별화 — 가격 경쟁력 </t>
    </r>
    <r>
      <rPr>
        <b val="true"/>
        <sz val="9"/>
        <color rgb="FF375623"/>
        <rFont val="Arial"/>
        <family val="0"/>
        <charset val="1"/>
      </rPr>
      <t xml:space="preserve">+ </t>
    </r>
    <r>
      <rPr>
        <b val="true"/>
        <sz val="9"/>
        <color rgb="FF375623"/>
        <rFont val="Noto Sans CJK KR"/>
        <family val="2"/>
      </rPr>
      <t xml:space="preserve">콘텐츠 차별성 동시 확보</t>
    </r>
  </si>
  <si>
    <r>
      <rPr>
        <b val="true"/>
        <sz val="12"/>
        <color rgb="FFFFFFFF"/>
        <rFont val="Noto Sans CJK KR"/>
        <family val="2"/>
      </rPr>
      <t xml:space="preserve">📊 국가별 월별 성장 시뮬레이션 — 멕시코</t>
    </r>
    <r>
      <rPr>
        <b val="true"/>
        <sz val="12"/>
        <color rgb="FFFFFFFF"/>
        <rFont val="Arial"/>
        <family val="0"/>
        <charset val="1"/>
      </rPr>
      <t xml:space="preserve">·</t>
    </r>
    <r>
      <rPr>
        <b val="true"/>
        <sz val="12"/>
        <color rgb="FFFFFFFF"/>
        <rFont val="Noto Sans CJK KR"/>
        <family val="2"/>
      </rPr>
      <t xml:space="preserve">콜롬비아</t>
    </r>
    <r>
      <rPr>
        <b val="true"/>
        <sz val="12"/>
        <color rgb="FFFFFFFF"/>
        <rFont val="Arial"/>
        <family val="0"/>
        <charset val="1"/>
      </rPr>
      <t xml:space="preserve">·</t>
    </r>
    <r>
      <rPr>
        <b val="true"/>
        <sz val="12"/>
        <color rgb="FFFFFFFF"/>
        <rFont val="Noto Sans CJK KR"/>
        <family val="2"/>
      </rPr>
      <t xml:space="preserve">칠레 </t>
    </r>
    <r>
      <rPr>
        <b val="true"/>
        <sz val="12"/>
        <color rgb="FFFFFFFF"/>
        <rFont val="Arial"/>
        <family val="0"/>
        <charset val="1"/>
      </rPr>
      <t xml:space="preserve">× M1~M12</t>
    </r>
  </si>
  <si>
    <r>
      <rPr>
        <sz val="9"/>
        <color rgb="FF595959"/>
        <rFont val="Noto Sans CJK KR"/>
        <family val="2"/>
      </rPr>
      <t xml:space="preserve">가정값 시트 전환율 적용 </t>
    </r>
    <r>
      <rPr>
        <sz val="9"/>
        <color rgb="FF595959"/>
        <rFont val="Arial"/>
        <family val="0"/>
        <charset val="1"/>
      </rPr>
      <t xml:space="preserve">· </t>
    </r>
    <r>
      <rPr>
        <sz val="9"/>
        <color rgb="FF595959"/>
        <rFont val="Noto Sans CJK KR"/>
        <family val="2"/>
      </rPr>
      <t xml:space="preserve">국가별 차등 성장 </t>
    </r>
    <r>
      <rPr>
        <sz val="9"/>
        <color rgb="FF595959"/>
        <rFont val="Arial"/>
        <family val="0"/>
        <charset val="1"/>
      </rPr>
      <t xml:space="preserve">· T1 </t>
    </r>
    <r>
      <rPr>
        <sz val="9"/>
        <color rgb="FF595959"/>
        <rFont val="Noto Sans CJK KR"/>
        <family val="2"/>
      </rPr>
      <t xml:space="preserve">제휴 </t>
    </r>
    <r>
      <rPr>
        <sz val="9"/>
        <color rgb="FF595959"/>
        <rFont val="Arial"/>
        <family val="0"/>
        <charset val="1"/>
      </rPr>
      <t xml:space="preserve">80% </t>
    </r>
    <r>
      <rPr>
        <sz val="9"/>
        <color rgb="FF595959"/>
        <rFont val="Noto Sans CJK KR"/>
        <family val="2"/>
      </rPr>
      <t xml:space="preserve">바이럴 엔진 </t>
    </r>
    <r>
      <rPr>
        <sz val="9"/>
        <color rgb="FF595959"/>
        <rFont val="Arial"/>
        <family val="0"/>
        <charset val="1"/>
      </rPr>
      <t xml:space="preserve">· </t>
    </r>
    <r>
      <rPr>
        <sz val="9"/>
        <color rgb="FF595959"/>
        <rFont val="Noto Sans CJK KR"/>
        <family val="2"/>
      </rPr>
      <t xml:space="preserve">수식 자동계산</t>
    </r>
  </si>
  <si>
    <r>
      <rPr>
        <b val="true"/>
        <sz val="11"/>
        <color rgb="FFFFFFFF"/>
        <rFont val="Noto Sans CJK KR"/>
        <family val="2"/>
      </rPr>
      <t xml:space="preserve">  🇲🇽 멕시코  —  월별 퍼널 </t>
    </r>
    <r>
      <rPr>
        <b val="true"/>
        <sz val="11"/>
        <color rgb="FFFFFFFF"/>
        <rFont val="Arial"/>
        <family val="0"/>
        <charset val="1"/>
      </rPr>
      <t xml:space="preserve">&amp; </t>
    </r>
    <r>
      <rPr>
        <b val="true"/>
        <sz val="11"/>
        <color rgb="FFFFFFFF"/>
        <rFont val="Noto Sans CJK KR"/>
        <family val="2"/>
      </rPr>
      <t xml:space="preserve">수익 시뮬레이션</t>
    </r>
  </si>
  <si>
    <r>
      <rPr>
        <b val="true"/>
        <sz val="9"/>
        <color rgb="FFFFFFFF"/>
        <rFont val="Arial"/>
        <family val="0"/>
        <charset val="1"/>
      </rPr>
      <t xml:space="preserve">M1 </t>
    </r>
    <r>
      <rPr>
        <b val="true"/>
        <sz val="9"/>
        <color rgb="FFFFFFFF"/>
        <rFont val="Noto Sans CJK KR"/>
        <family val="2"/>
      </rPr>
      <t xml:space="preserve">기준</t>
    </r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</si>
  <si>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</si>
  <si>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</si>
  <si>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</si>
  <si>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</si>
  <si>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</si>
  <si>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</si>
  <si>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</si>
  <si>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</si>
  <si>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</si>
  <si>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</si>
  <si>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</si>
  <si>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</si>
  <si>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r>
      <rPr>
        <b val="true"/>
        <sz val="9"/>
        <color rgb="FFFFFFFF"/>
        <rFont val="Arial"/>
        <family val="0"/>
        <charset val="1"/>
      </rPr>
      <t xml:space="preserve">12</t>
    </r>
    <r>
      <rPr>
        <b val="true"/>
        <sz val="9"/>
        <color rgb="FFFFFFFF"/>
        <rFont val="Noto Sans CJK KR"/>
        <family val="2"/>
      </rPr>
      <t xml:space="preserve">개월 합계</t>
    </r>
  </si>
  <si>
    <t xml:space="preserve">진단 완료</t>
  </si>
  <si>
    <t xml:space="preserve">↑ 가정값</t>
  </si>
  <si>
    <t xml:space="preserve">이메일 수집</t>
  </si>
  <si>
    <r>
      <rPr>
        <sz val="9"/>
        <color rgb="FF000000"/>
        <rFont val="Arial"/>
        <family val="0"/>
        <charset val="1"/>
      </rPr>
      <t xml:space="preserve">T1 </t>
    </r>
    <r>
      <rPr>
        <sz val="9"/>
        <color rgb="FF000000"/>
        <rFont val="Noto Sans CJK KR"/>
        <family val="2"/>
      </rPr>
      <t xml:space="preserve">구매 </t>
    </r>
    <r>
      <rPr>
        <sz val="9"/>
        <color rgb="FF000000"/>
        <rFont val="Arial"/>
        <family val="0"/>
        <charset val="1"/>
      </rPr>
      <t xml:space="preserve">(8</t>
    </r>
    <r>
      <rPr>
        <sz val="9"/>
        <color rgb="FF000000"/>
        <rFont val="Noto Sans CJK KR"/>
        <family val="2"/>
      </rPr>
      <t xml:space="preserve">유형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</si>
  <si>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T2 </t>
    </r>
    <r>
      <rPr>
        <sz val="9"/>
        <color rgb="FF000000"/>
        <rFont val="Noto Sans CJK KR"/>
        <family val="2"/>
      </rPr>
      <t xml:space="preserve">구매</t>
    </r>
  </si>
  <si>
    <r>
      <rPr>
        <sz val="9"/>
        <color rgb="FF000000"/>
        <rFont val="Arial"/>
        <family val="0"/>
        <charset val="1"/>
      </rPr>
      <t xml:space="preserve">T3 </t>
    </r>
    <r>
      <rPr>
        <sz val="9"/>
        <color rgb="FF000000"/>
        <rFont val="Noto Sans CJK KR"/>
        <family val="2"/>
      </rPr>
      <t xml:space="preserve">구매</t>
    </r>
  </si>
  <si>
    <r>
      <rPr>
        <sz val="9"/>
        <color rgb="FF000000"/>
        <rFont val="Arial"/>
        <family val="0"/>
        <charset val="1"/>
      </rPr>
      <t xml:space="preserve">T1 </t>
    </r>
    <r>
      <rPr>
        <sz val="9"/>
        <color rgb="FF000000"/>
        <rFont val="Noto Sans CJK KR"/>
        <family val="2"/>
      </rPr>
      <t xml:space="preserve">매출 </t>
    </r>
    <r>
      <rPr>
        <sz val="9"/>
        <color rgb="FF000000"/>
        <rFont val="Arial"/>
        <family val="0"/>
        <charset val="1"/>
      </rPr>
      <t xml:space="preserve">(Gross)</t>
    </r>
  </si>
  <si>
    <r>
      <rPr>
        <sz val="9"/>
        <color rgb="FF000000"/>
        <rFont val="Arial"/>
        <family val="0"/>
        <charset val="1"/>
      </rPr>
      <t xml:space="preserve">T2 </t>
    </r>
    <r>
      <rPr>
        <sz val="9"/>
        <color rgb="FF000000"/>
        <rFont val="Noto Sans CJK KR"/>
        <family val="2"/>
      </rPr>
      <t xml:space="preserve">매출 </t>
    </r>
    <r>
      <rPr>
        <sz val="9"/>
        <color rgb="FF000000"/>
        <rFont val="Arial"/>
        <family val="0"/>
        <charset val="1"/>
      </rPr>
      <t xml:space="preserve">(Gross)</t>
    </r>
  </si>
  <si>
    <r>
      <rPr>
        <sz val="9"/>
        <color rgb="FF000000"/>
        <rFont val="Arial"/>
        <family val="0"/>
        <charset val="1"/>
      </rPr>
      <t xml:space="preserve">T3 </t>
    </r>
    <r>
      <rPr>
        <sz val="9"/>
        <color rgb="FF000000"/>
        <rFont val="Noto Sans CJK KR"/>
        <family val="2"/>
      </rPr>
      <t xml:space="preserve">매출 </t>
    </r>
    <r>
      <rPr>
        <sz val="9"/>
        <color rgb="FF000000"/>
        <rFont val="Arial"/>
        <family val="0"/>
        <charset val="1"/>
      </rPr>
      <t xml:space="preserve">(Gross)</t>
    </r>
  </si>
  <si>
    <r>
      <rPr>
        <b val="true"/>
        <sz val="9"/>
        <color rgb="FF000000"/>
        <rFont val="Noto Sans CJK KR"/>
        <family val="2"/>
      </rPr>
      <t xml:space="preserve">총 매출 </t>
    </r>
    <r>
      <rPr>
        <b val="true"/>
        <sz val="9"/>
        <color rgb="FF000000"/>
        <rFont val="Arial"/>
        <family val="0"/>
        <charset val="1"/>
      </rPr>
      <t xml:space="preserve">(Gross)</t>
    </r>
  </si>
  <si>
    <r>
      <rPr>
        <sz val="9"/>
        <color rgb="FF000000"/>
        <rFont val="Noto Sans CJK KR"/>
        <family val="2"/>
      </rPr>
      <t xml:space="preserve">  차감</t>
    </r>
    <r>
      <rPr>
        <sz val="9"/>
        <color rgb="FF000000"/>
        <rFont val="Arial"/>
        <family val="0"/>
        <charset val="1"/>
      </rPr>
      <t xml:space="preserve">: Hotmart </t>
    </r>
    <r>
      <rPr>
        <sz val="9"/>
        <color rgb="FF000000"/>
        <rFont val="Noto Sans CJK KR"/>
        <family val="2"/>
      </rPr>
      <t xml:space="preserve">수수료</t>
    </r>
  </si>
  <si>
    <r>
      <rPr>
        <sz val="9"/>
        <color rgb="FF000000"/>
        <rFont val="Noto Sans CJK KR"/>
        <family val="2"/>
      </rPr>
      <t xml:space="preserve">  차감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KR"/>
        <family val="2"/>
      </rPr>
      <t xml:space="preserve">제휴 커미션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KR"/>
        <family val="2"/>
      </rPr>
      <t xml:space="preserve">티어별 비중</t>
    </r>
    <r>
      <rPr>
        <sz val="9"/>
        <color rgb="FF000000"/>
        <rFont val="Arial"/>
        <family val="0"/>
        <charset val="1"/>
      </rPr>
      <t xml:space="preserve">)</t>
    </r>
  </si>
  <si>
    <t xml:space="preserve">▶ 월 순 수익</t>
  </si>
  <si>
    <t xml:space="preserve">누적 순 수익</t>
  </si>
  <si>
    <r>
      <rPr>
        <b val="true"/>
        <sz val="9"/>
        <color rgb="FF000000"/>
        <rFont val="Noto Sans CJK KR"/>
        <family val="2"/>
      </rPr>
      <t xml:space="preserve">민철님 실수익 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Noto Sans CJK KR"/>
        <family val="2"/>
      </rPr>
      <t xml:space="preserve">제휴차감 후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</si>
  <si>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sz val="9"/>
        <color rgb="FF595959"/>
        <rFont val="Noto Sans CJK KR"/>
        <family val="2"/>
      </rPr>
      <t xml:space="preserve">원화 환산 </t>
    </r>
    <r>
      <rPr>
        <sz val="9"/>
        <color rgb="FF595959"/>
        <rFont val="Arial"/>
        <family val="0"/>
        <charset val="1"/>
      </rPr>
      <t xml:space="preserve">(₩1,400/$)</t>
    </r>
  </si>
  <si>
    <r>
      <rPr>
        <b val="true"/>
        <sz val="11"/>
        <color rgb="FFFFFFFF"/>
        <rFont val="Noto Sans CJK KR"/>
        <family val="2"/>
      </rPr>
      <t xml:space="preserve">  🇨🇴 콜롬비아  —  월별 퍼널 </t>
    </r>
    <r>
      <rPr>
        <b val="true"/>
        <sz val="11"/>
        <color rgb="FFFFFFFF"/>
        <rFont val="Arial"/>
        <family val="0"/>
        <charset val="1"/>
      </rPr>
      <t xml:space="preserve">&amp; </t>
    </r>
    <r>
      <rPr>
        <b val="true"/>
        <sz val="11"/>
        <color rgb="FFFFFFFF"/>
        <rFont val="Noto Sans CJK KR"/>
        <family val="2"/>
      </rPr>
      <t xml:space="preserve">수익 시뮬레이션</t>
    </r>
  </si>
  <si>
    <r>
      <rPr>
        <b val="true"/>
        <sz val="11"/>
        <color rgb="FFFFFFFF"/>
        <rFont val="Noto Sans CJK KR"/>
        <family val="2"/>
      </rPr>
      <t xml:space="preserve">  🇨🇱 칠레  —  월별 퍼널 </t>
    </r>
    <r>
      <rPr>
        <b val="true"/>
        <sz val="11"/>
        <color rgb="FFFFFFFF"/>
        <rFont val="Arial"/>
        <family val="0"/>
        <charset val="1"/>
      </rPr>
      <t xml:space="preserve">&amp; </t>
    </r>
    <r>
      <rPr>
        <b val="true"/>
        <sz val="11"/>
        <color rgb="FFFFFFFF"/>
        <rFont val="Noto Sans CJK KR"/>
        <family val="2"/>
      </rPr>
      <t xml:space="preserve">수익 시뮬레이션</t>
    </r>
  </si>
  <si>
    <r>
      <rPr>
        <b val="true"/>
        <sz val="12"/>
        <color rgb="FFFFFFFF"/>
        <rFont val="Noto Sans CJK KR"/>
        <family val="2"/>
      </rPr>
      <t xml:space="preserve">🎯 시나리오 비교 — 보수적 </t>
    </r>
    <r>
      <rPr>
        <b val="true"/>
        <sz val="12"/>
        <color rgb="FFFFFFFF"/>
        <rFont val="Arial"/>
        <family val="0"/>
        <charset val="1"/>
      </rPr>
      <t xml:space="preserve">/ </t>
    </r>
    <r>
      <rPr>
        <b val="true"/>
        <sz val="12"/>
        <color rgb="FFFFFFFF"/>
        <rFont val="Noto Sans CJK KR"/>
        <family val="2"/>
      </rPr>
      <t xml:space="preserve">기본 </t>
    </r>
    <r>
      <rPr>
        <b val="true"/>
        <sz val="12"/>
        <color rgb="FFFFFFFF"/>
        <rFont val="Arial"/>
        <family val="0"/>
        <charset val="1"/>
      </rPr>
      <t xml:space="preserve">/ </t>
    </r>
    <r>
      <rPr>
        <b val="true"/>
        <sz val="12"/>
        <color rgb="FFFFFFFF"/>
        <rFont val="Noto Sans CJK KR"/>
        <family val="2"/>
      </rPr>
      <t xml:space="preserve">낙관 </t>
    </r>
    <r>
      <rPr>
        <b val="true"/>
        <sz val="12"/>
        <color rgb="FFFFFFFF"/>
        <rFont val="Arial"/>
        <family val="0"/>
        <charset val="1"/>
      </rPr>
      <t xml:space="preserve">/ </t>
    </r>
    <r>
      <rPr>
        <b val="true"/>
        <sz val="12"/>
        <color rgb="FFFFFFFF"/>
        <rFont val="Noto Sans CJK KR"/>
        <family val="2"/>
      </rPr>
      <t xml:space="preserve">드림  </t>
    </r>
    <r>
      <rPr>
        <b val="true"/>
        <sz val="12"/>
        <color rgb="FFFFFFFF"/>
        <rFont val="Arial"/>
        <family val="0"/>
        <charset val="1"/>
      </rPr>
      <t xml:space="preserve">|  3</t>
    </r>
    <r>
      <rPr>
        <b val="true"/>
        <sz val="12"/>
        <color rgb="FFFFFFFF"/>
        <rFont val="Noto Sans CJK KR"/>
        <family val="2"/>
      </rPr>
      <t xml:space="preserve">국 가중평균 기준  </t>
    </r>
    <r>
      <rPr>
        <b val="true"/>
        <sz val="12"/>
        <color rgb="FFFFFFFF"/>
        <rFont val="Arial"/>
        <family val="0"/>
        <charset val="1"/>
      </rPr>
      <t xml:space="preserve">|  M12 </t>
    </r>
    <r>
      <rPr>
        <b val="true"/>
        <sz val="12"/>
        <color rgb="FFFFFFFF"/>
        <rFont val="Noto Sans CJK KR"/>
        <family val="2"/>
      </rPr>
      <t xml:space="preserve">월 순수익</t>
    </r>
  </si>
  <si>
    <r>
      <rPr>
        <sz val="9"/>
        <color rgb="FF595959"/>
        <rFont val="Noto Sans CJK KR"/>
        <family val="2"/>
      </rPr>
      <t xml:space="preserve">파란색 셀 직접 수정 가능 </t>
    </r>
    <r>
      <rPr>
        <sz val="9"/>
        <color rgb="FF595959"/>
        <rFont val="Arial"/>
        <family val="0"/>
        <charset val="1"/>
      </rPr>
      <t xml:space="preserve">· 3</t>
    </r>
    <r>
      <rPr>
        <sz val="9"/>
        <color rgb="FF595959"/>
        <rFont val="Noto Sans CJK KR"/>
        <family val="2"/>
      </rPr>
      <t xml:space="preserve">국 가중평균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KR"/>
        <family val="2"/>
      </rPr>
      <t xml:space="preserve">멕시코</t>
    </r>
    <r>
      <rPr>
        <sz val="9"/>
        <color rgb="FF595959"/>
        <rFont val="Arial"/>
        <family val="0"/>
        <charset val="1"/>
      </rPr>
      <t xml:space="preserve">50%+</t>
    </r>
    <r>
      <rPr>
        <sz val="9"/>
        <color rgb="FF595959"/>
        <rFont val="Noto Sans CJK KR"/>
        <family val="2"/>
      </rPr>
      <t xml:space="preserve">콜롬비아</t>
    </r>
    <r>
      <rPr>
        <sz val="9"/>
        <color rgb="FF595959"/>
        <rFont val="Arial"/>
        <family val="0"/>
        <charset val="1"/>
      </rPr>
      <t xml:space="preserve">30%+</t>
    </r>
    <r>
      <rPr>
        <sz val="9"/>
        <color rgb="FF595959"/>
        <rFont val="Noto Sans CJK KR"/>
        <family val="2"/>
      </rPr>
      <t xml:space="preserve">칠레</t>
    </r>
    <r>
      <rPr>
        <sz val="9"/>
        <color rgb="FF595959"/>
        <rFont val="Arial"/>
        <family val="0"/>
        <charset val="1"/>
      </rPr>
      <t xml:space="preserve">20%) </t>
    </r>
    <r>
      <rPr>
        <sz val="9"/>
        <color rgb="FF595959"/>
        <rFont val="Noto Sans CJK KR"/>
        <family val="2"/>
      </rPr>
      <t xml:space="preserve">적용 </t>
    </r>
    <r>
      <rPr>
        <sz val="9"/>
        <color rgb="FF595959"/>
        <rFont val="Arial"/>
        <family val="0"/>
        <charset val="1"/>
      </rPr>
      <t xml:space="preserve">· T1 </t>
    </r>
    <r>
      <rPr>
        <sz val="9"/>
        <color rgb="FF595959"/>
        <rFont val="Noto Sans CJK KR"/>
        <family val="2"/>
      </rPr>
      <t xml:space="preserve">제휴 </t>
    </r>
    <r>
      <rPr>
        <sz val="9"/>
        <color rgb="FF595959"/>
        <rFont val="Arial"/>
        <family val="0"/>
        <charset val="1"/>
      </rPr>
      <t xml:space="preserve">70% </t>
    </r>
    <r>
      <rPr>
        <sz val="9"/>
        <color rgb="FF595959"/>
        <rFont val="Noto Sans CJK KR"/>
        <family val="2"/>
      </rPr>
      <t xml:space="preserve">바이럴 중심</t>
    </r>
  </si>
  <si>
    <t xml:space="preserve">가정 항목</t>
  </si>
  <si>
    <t xml:space="preserve">보수적 😐</t>
  </si>
  <si>
    <t xml:space="preserve">기본 🙂</t>
  </si>
  <si>
    <t xml:space="preserve">낙관 😊</t>
  </si>
  <si>
    <t xml:space="preserve">드림 🚀</t>
  </si>
  <si>
    <r>
      <rPr>
        <b val="true"/>
        <sz val="11"/>
        <color rgb="FFFFFFFF"/>
        <rFont val="Noto Sans CJK KR"/>
        <family val="2"/>
      </rPr>
      <t xml:space="preserve">📥 입력 가정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파란색 직접 수정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</si>
  <si>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9"/>
        <color rgb="FF000000"/>
        <rFont val="Noto Sans CJK KR"/>
        <family val="2"/>
      </rPr>
      <t xml:space="preserve">월 진단 완료 수 </t>
    </r>
    <r>
      <rPr>
        <sz val="9"/>
        <color rgb="FF000000"/>
        <rFont val="Arial"/>
        <family val="0"/>
        <charset val="1"/>
      </rPr>
      <t xml:space="preserve">(3</t>
    </r>
    <r>
      <rPr>
        <sz val="9"/>
        <color rgb="FF000000"/>
        <rFont val="Noto Sans CJK KR"/>
        <family val="2"/>
      </rPr>
      <t xml:space="preserve">국 합산</t>
    </r>
    <r>
      <rPr>
        <sz val="9"/>
        <color rgb="FF000000"/>
        <rFont val="Arial"/>
        <family val="0"/>
        <charset val="1"/>
      </rPr>
      <t xml:space="preserve">)</t>
    </r>
  </si>
  <si>
    <t xml:space="preserve">월 성장률</t>
  </si>
  <si>
    <r>
      <rPr>
        <b val="true"/>
        <sz val="11"/>
        <color rgb="FFFFFFFF"/>
        <rFont val="Arial"/>
        <family val="0"/>
        <charset val="1"/>
      </rPr>
      <t xml:space="preserve">📊 M12 </t>
    </r>
    <r>
      <rPr>
        <b val="true"/>
        <sz val="11"/>
        <color rgb="FFFFFFFF"/>
        <rFont val="Noto Sans CJK KR"/>
        <family val="2"/>
      </rPr>
      <t xml:space="preserve">월 순수익 계산 </t>
    </r>
    <r>
      <rPr>
        <b val="true"/>
        <sz val="11"/>
        <color rgb="FFFFFFFF"/>
        <rFont val="Arial"/>
        <family val="0"/>
        <charset val="1"/>
      </rPr>
      <t xml:space="preserve">(12</t>
    </r>
    <r>
      <rPr>
        <b val="true"/>
        <sz val="11"/>
        <color rgb="FFFFFFFF"/>
        <rFont val="Noto Sans CJK KR"/>
        <family val="2"/>
      </rPr>
      <t xml:space="preserve">개월 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</si>
  <si>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9"/>
        <color rgb="FF000000"/>
        <rFont val="Noto Sans CJK KR"/>
        <family val="2"/>
      </rPr>
      <t xml:space="preserve">진단 수 </t>
    </r>
    <r>
      <rPr>
        <sz val="9"/>
        <color rgb="FF000000"/>
        <rFont val="Arial"/>
        <family val="0"/>
        <charset val="1"/>
      </rPr>
      <t xml:space="preserve">(M12)</t>
    </r>
  </si>
  <si>
    <r>
      <rPr>
        <sz val="9"/>
        <color rgb="FF000000"/>
        <rFont val="Arial"/>
        <family val="0"/>
        <charset val="1"/>
      </rPr>
      <t xml:space="preserve">T1 </t>
    </r>
    <r>
      <rPr>
        <sz val="9"/>
        <color rgb="FF000000"/>
        <rFont val="Noto Sans CJK KR"/>
        <family val="2"/>
      </rPr>
      <t xml:space="preserve">매출</t>
    </r>
  </si>
  <si>
    <r>
      <rPr>
        <sz val="9"/>
        <color rgb="FF000000"/>
        <rFont val="Arial"/>
        <family val="0"/>
        <charset val="1"/>
      </rPr>
      <t xml:space="preserve">T2 </t>
    </r>
    <r>
      <rPr>
        <sz val="9"/>
        <color rgb="FF000000"/>
        <rFont val="Noto Sans CJK KR"/>
        <family val="2"/>
      </rPr>
      <t xml:space="preserve">매출</t>
    </r>
  </si>
  <si>
    <r>
      <rPr>
        <sz val="9"/>
        <color rgb="FF000000"/>
        <rFont val="Arial"/>
        <family val="0"/>
        <charset val="1"/>
      </rPr>
      <t xml:space="preserve">T3 </t>
    </r>
    <r>
      <rPr>
        <sz val="9"/>
        <color rgb="FF000000"/>
        <rFont val="Noto Sans CJK KR"/>
        <family val="2"/>
      </rPr>
      <t xml:space="preserve">매출</t>
    </r>
  </si>
  <si>
    <r>
      <rPr>
        <sz val="9"/>
        <color rgb="FF000000"/>
        <rFont val="Noto Sans CJK KR"/>
        <family val="2"/>
      </rPr>
      <t xml:space="preserve">총 매출 </t>
    </r>
    <r>
      <rPr>
        <sz val="9"/>
        <color rgb="FF000000"/>
        <rFont val="Arial"/>
        <family val="0"/>
        <charset val="1"/>
      </rPr>
      <t xml:space="preserve">Gross</t>
    </r>
  </si>
  <si>
    <r>
      <rPr>
        <sz val="9"/>
        <color rgb="FF000000"/>
        <rFont val="Noto Sans CJK KR"/>
        <family val="2"/>
      </rPr>
      <t xml:space="preserve">  차감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KR"/>
        <family val="2"/>
      </rPr>
      <t xml:space="preserve">제휴 커미션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KR"/>
        <family val="2"/>
      </rPr>
      <t xml:space="preserve">순액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KR"/>
        <family val="2"/>
      </rPr>
      <t xml:space="preserve">티어별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</si>
  <si>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Noto Sans CJK KR"/>
        <family val="2"/>
      </rPr>
      <t xml:space="preserve">▶ 월 순수익 </t>
    </r>
    <r>
      <rPr>
        <b val="true"/>
        <sz val="9"/>
        <color rgb="FF000000"/>
        <rFont val="Arial"/>
        <family val="0"/>
        <charset val="1"/>
      </rPr>
      <t xml:space="preserve">(M12)</t>
    </r>
  </si>
  <si>
    <t xml:space="preserve">★ 연간 순수익</t>
  </si>
  <si>
    <r>
      <rPr>
        <b val="true"/>
        <sz val="11"/>
        <color rgb="FFFFFFFF"/>
        <rFont val="Noto Sans CJK KR"/>
        <family val="2"/>
      </rPr>
      <t xml:space="preserve">💰 원화 환산 </t>
    </r>
    <r>
      <rPr>
        <b val="true"/>
        <sz val="11"/>
        <color rgb="FFFFFFFF"/>
        <rFont val="Arial"/>
        <family val="0"/>
        <charset val="1"/>
      </rPr>
      <t xml:space="preserve">(₩1,400/$1)</t>
    </r>
  </si>
  <si>
    <r>
      <rPr>
        <sz val="9"/>
        <color rgb="FF000000"/>
        <rFont val="Noto Sans CJK KR"/>
        <family val="2"/>
      </rPr>
      <t xml:space="preserve">월 순수익 </t>
    </r>
    <r>
      <rPr>
        <sz val="9"/>
        <color rgb="FF000000"/>
        <rFont val="Arial"/>
        <family val="0"/>
        <charset val="1"/>
      </rPr>
      <t xml:space="preserve">(₩)</t>
    </r>
  </si>
  <si>
    <r>
      <rPr>
        <sz val="9"/>
        <color rgb="FF000000"/>
        <rFont val="Noto Sans CJK KR"/>
        <family val="2"/>
      </rPr>
      <t xml:space="preserve">연간 순수익 </t>
    </r>
    <r>
      <rPr>
        <sz val="9"/>
        <color rgb="FF000000"/>
        <rFont val="Arial"/>
        <family val="0"/>
        <charset val="1"/>
      </rPr>
      <t xml:space="preserve">(₩)</t>
    </r>
  </si>
  <si>
    <r>
      <rPr>
        <b val="true"/>
        <sz val="11"/>
        <color rgb="FFFFFFFF"/>
        <rFont val="Noto Sans CJK KR"/>
        <family val="2"/>
      </rPr>
      <t xml:space="preserve">🔗 제휴사 </t>
    </r>
    <r>
      <rPr>
        <b val="true"/>
        <sz val="11"/>
        <color rgb="FFFFFFFF"/>
        <rFont val="Arial"/>
        <family val="0"/>
        <charset val="1"/>
      </rPr>
      <t xml:space="preserve">LTV </t>
    </r>
    <r>
      <rPr>
        <b val="true"/>
        <sz val="11"/>
        <color rgb="FFFFFFFF"/>
        <rFont val="Noto Sans CJK KR"/>
        <family val="2"/>
      </rPr>
      <t xml:space="preserve">분석 — </t>
    </r>
    <r>
      <rPr>
        <b val="true"/>
        <sz val="11"/>
        <color rgb="FFFFFFFF"/>
        <rFont val="Arial"/>
        <family val="0"/>
        <charset val="1"/>
      </rPr>
      <t xml:space="preserve">T1 </t>
    </r>
    <r>
      <rPr>
        <b val="true"/>
        <sz val="11"/>
        <color rgb="FFFFFFFF"/>
        <rFont val="Noto Sans CJK KR"/>
        <family val="2"/>
      </rPr>
      <t xml:space="preserve">제휴사가 실제로 버는 금액</t>
    </r>
  </si>
  <si>
    <r>
      <rPr>
        <sz val="9"/>
        <color rgb="FF000000"/>
        <rFont val="Arial"/>
        <family val="0"/>
        <charset val="1"/>
      </rPr>
      <t xml:space="preserve">T1 </t>
    </r>
    <r>
      <rPr>
        <sz val="9"/>
        <color rgb="FF000000"/>
        <rFont val="Noto Sans CJK KR"/>
        <family val="2"/>
      </rPr>
      <t xml:space="preserve">직접 커미션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KR"/>
        <family val="2"/>
      </rPr>
      <t xml:space="preserve">건</t>
    </r>
  </si>
  <si>
    <r>
      <rPr>
        <sz val="9"/>
        <color rgb="FF000000"/>
        <rFont val="Arial"/>
        <family val="0"/>
        <charset val="1"/>
      </rPr>
      <t xml:space="preserve">T2 </t>
    </r>
    <r>
      <rPr>
        <sz val="9"/>
        <color rgb="FF000000"/>
        <rFont val="Noto Sans CJK KR"/>
        <family val="2"/>
      </rPr>
      <t xml:space="preserve">업셀 커미션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KR"/>
        <family val="2"/>
      </rPr>
      <t xml:space="preserve">확률반영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</si>
  <si>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T3 </t>
    </r>
    <r>
      <rPr>
        <sz val="9"/>
        <color rgb="FF000000"/>
        <rFont val="Noto Sans CJK KR"/>
        <family val="2"/>
      </rPr>
      <t xml:space="preserve">업셀 커미션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KR"/>
        <family val="2"/>
      </rPr>
      <t xml:space="preserve">확률반영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</si>
  <si>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Noto Sans CJK KR"/>
        <family val="2"/>
      </rPr>
      <t xml:space="preserve">제휴사 건당 기대 </t>
    </r>
    <r>
      <rPr>
        <b val="true"/>
        <sz val="9"/>
        <color rgb="FF000000"/>
        <rFont val="Arial"/>
        <family val="0"/>
        <charset val="1"/>
      </rPr>
      <t xml:space="preserve">LTV</t>
    </r>
  </si>
  <si>
    <r>
      <rPr>
        <b val="true"/>
        <sz val="9"/>
        <color rgb="FFC55A11"/>
        <rFont val="Arial"/>
        <family val="0"/>
        <charset val="1"/>
      </rPr>
      <t xml:space="preserve">💡 T1 70% </t>
    </r>
    <r>
      <rPr>
        <b val="true"/>
        <sz val="9"/>
        <color rgb="FFC55A11"/>
        <rFont val="Noto Sans CJK KR"/>
        <family val="2"/>
      </rPr>
      <t xml:space="preserve">커미션이지만 쿠키 </t>
    </r>
    <r>
      <rPr>
        <b val="true"/>
        <sz val="9"/>
        <color rgb="FFC55A11"/>
        <rFont val="Arial"/>
        <family val="0"/>
        <charset val="1"/>
      </rPr>
      <t xml:space="preserve">30</t>
    </r>
    <r>
      <rPr>
        <b val="true"/>
        <sz val="9"/>
        <color rgb="FFC55A11"/>
        <rFont val="Noto Sans CJK KR"/>
        <family val="2"/>
      </rPr>
      <t xml:space="preserve">일 → </t>
    </r>
    <r>
      <rPr>
        <b val="true"/>
        <sz val="9"/>
        <color rgb="FFC55A11"/>
        <rFont val="Arial"/>
        <family val="0"/>
        <charset val="1"/>
      </rPr>
      <t xml:space="preserve">T2/T3 </t>
    </r>
    <r>
      <rPr>
        <b val="true"/>
        <sz val="9"/>
        <color rgb="FFC55A11"/>
        <rFont val="Noto Sans CJK KR"/>
        <family val="2"/>
      </rPr>
      <t xml:space="preserve">업셀 커미션도 수령 → 제휴사 기대 </t>
    </r>
    <r>
      <rPr>
        <b val="true"/>
        <sz val="9"/>
        <color rgb="FFC55A11"/>
        <rFont val="Arial"/>
        <family val="0"/>
        <charset val="1"/>
      </rPr>
      <t xml:space="preserve">LTV = $8.40~$15+ · '</t>
    </r>
    <r>
      <rPr>
        <b val="true"/>
        <sz val="9"/>
        <color rgb="FFC55A11"/>
        <rFont val="Noto Sans CJK KR"/>
        <family val="2"/>
      </rPr>
      <t xml:space="preserve">눈 돌아가는</t>
    </r>
    <r>
      <rPr>
        <b val="true"/>
        <sz val="9"/>
        <color rgb="FFC55A11"/>
        <rFont val="Arial"/>
        <family val="0"/>
        <charset val="1"/>
      </rPr>
      <t xml:space="preserve">' </t>
    </r>
    <r>
      <rPr>
        <b val="true"/>
        <sz val="9"/>
        <color rgb="FFC55A11"/>
        <rFont val="Noto Sans CJK KR"/>
        <family val="2"/>
      </rPr>
      <t xml:space="preserve">수준 맞음</t>
    </r>
  </si>
  <si>
    <t xml:space="preserve">⚡ 전략 인사이트</t>
  </si>
  <si>
    <r>
      <rPr>
        <sz val="9"/>
        <color rgb="FF000000"/>
        <rFont val="Noto Sans CJK KR"/>
        <family val="2"/>
      </rPr>
      <t xml:space="preserve">✅ 멕시코 月소득 </t>
    </r>
    <r>
      <rPr>
        <sz val="9"/>
        <color rgb="FF000000"/>
        <rFont val="Arial"/>
        <family val="0"/>
        <charset val="1"/>
      </rPr>
      <t xml:space="preserve">$1,923 </t>
    </r>
    <r>
      <rPr>
        <sz val="9"/>
        <color rgb="FF000000"/>
        <rFont val="Noto Sans CJK KR"/>
        <family val="2"/>
      </rPr>
      <t xml:space="preserve">대비 </t>
    </r>
    <r>
      <rPr>
        <sz val="9"/>
        <color rgb="FF000000"/>
        <rFont val="Arial"/>
        <family val="0"/>
        <charset val="1"/>
      </rPr>
      <t xml:space="preserve">T1 $15 = 0.78% · T3 $34 = 1.77% — </t>
    </r>
    <r>
      <rPr>
        <sz val="9"/>
        <color rgb="FF000000"/>
        <rFont val="Noto Sans CJK KR"/>
        <family val="2"/>
      </rPr>
      <t xml:space="preserve">충동구매 </t>
    </r>
    <r>
      <rPr>
        <sz val="9"/>
        <color rgb="FF000000"/>
        <rFont val="Arial"/>
        <family val="0"/>
        <charset val="1"/>
      </rPr>
      <t xml:space="preserve">~ </t>
    </r>
    <r>
      <rPr>
        <sz val="9"/>
        <color rgb="FF000000"/>
        <rFont val="Noto Sans CJK KR"/>
        <family val="2"/>
      </rPr>
      <t xml:space="preserve">고려구매 경계선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KR"/>
        <family val="2"/>
      </rPr>
      <t xml:space="preserve">스윗스팟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</si>
  <si>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KR"/>
        <family val="2"/>
      </rPr>
      <t xml:space="preserve">✅ 콜롬비아 月소득 </t>
    </r>
    <r>
      <rPr>
        <sz val="9"/>
        <color rgb="FF000000"/>
        <rFont val="Arial"/>
        <family val="0"/>
        <charset val="1"/>
      </rPr>
      <t xml:space="preserve">$1,123 </t>
    </r>
    <r>
      <rPr>
        <sz val="9"/>
        <color rgb="FF000000"/>
        <rFont val="Noto Sans CJK KR"/>
        <family val="2"/>
      </rPr>
      <t xml:space="preserve">대비 </t>
    </r>
    <r>
      <rPr>
        <sz val="9"/>
        <color rgb="FF000000"/>
        <rFont val="Arial"/>
        <family val="0"/>
        <charset val="1"/>
      </rPr>
      <t xml:space="preserve">T1 $15 = 1.34% — </t>
    </r>
    <r>
      <rPr>
        <sz val="9"/>
        <color rgb="FF000000"/>
        <rFont val="Noto Sans CJK KR"/>
        <family val="2"/>
      </rPr>
      <t xml:space="preserve">부담 있지만 자기계발 소비 의향 강한 </t>
    </r>
    <r>
      <rPr>
        <sz val="9"/>
        <color rgb="FF000000"/>
        <rFont val="Arial"/>
        <family val="0"/>
        <charset val="1"/>
      </rPr>
      <t xml:space="preserve">25~40</t>
    </r>
    <r>
      <rPr>
        <sz val="9"/>
        <color rgb="FF000000"/>
        <rFont val="Noto Sans CJK KR"/>
        <family val="2"/>
      </rPr>
      <t xml:space="preserve">대 타겟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</si>
  <si>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KR"/>
        <family val="2"/>
      </rPr>
      <t xml:space="preserve">✅ 칠레 구매력 최고</t>
    </r>
    <r>
      <rPr>
        <sz val="9"/>
        <color rgb="FF000000"/>
        <rFont val="Arial"/>
        <family val="0"/>
        <charset val="1"/>
      </rPr>
      <t xml:space="preserve">($2,375) → T3 </t>
    </r>
    <r>
      <rPr>
        <sz val="9"/>
        <color rgb="FF000000"/>
        <rFont val="Noto Sans CJK KR"/>
        <family val="2"/>
      </rPr>
      <t xml:space="preserve">전환율 </t>
    </r>
    <r>
      <rPr>
        <sz val="9"/>
        <color rgb="FF000000"/>
        <rFont val="Arial"/>
        <family val="0"/>
        <charset val="1"/>
      </rPr>
      <t xml:space="preserve">28% </t>
    </r>
    <r>
      <rPr>
        <sz val="9"/>
        <color rgb="FF000000"/>
        <rFont val="Noto Sans CJK KR"/>
        <family val="2"/>
      </rPr>
      <t xml:space="preserve">가정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KR"/>
        <family val="2"/>
      </rPr>
      <t xml:space="preserve">칠레 집중 캠페인 우선 검증 권장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</si>
  <si>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KR"/>
        <family val="2"/>
      </rPr>
      <t xml:space="preserve">⚠ 아르헨티나 제외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KR"/>
        <family val="2"/>
      </rPr>
      <t xml:space="preserve">月소득 </t>
    </r>
    <r>
      <rPr>
        <sz val="9"/>
        <color rgb="FF000000"/>
        <rFont val="Arial"/>
        <family val="0"/>
        <charset val="1"/>
      </rPr>
      <t xml:space="preserve">$184 · T1 = 8.2% </t>
    </r>
    <r>
      <rPr>
        <sz val="9"/>
        <color rgb="FF000000"/>
        <rFont val="Noto Sans CJK KR"/>
        <family val="2"/>
      </rPr>
      <t xml:space="preserve">부담 </t>
    </r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KR"/>
        <family val="2"/>
      </rPr>
      <t xml:space="preserve">페소 불안정</t>
    </r>
    <r>
      <rPr>
        <sz val="9"/>
        <color rgb="FF000000"/>
        <rFont val="Arial"/>
        <family val="0"/>
        <charset val="1"/>
      </rPr>
      <t xml:space="preserve">) — </t>
    </r>
    <r>
      <rPr>
        <sz val="9"/>
        <color rgb="FF000000"/>
        <rFont val="Noto Sans CJK KR"/>
        <family val="2"/>
      </rPr>
      <t xml:space="preserve">중기 이후 별도 전략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</si>
  <si>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✅ 16P </t>
    </r>
    <r>
      <rPr>
        <sz val="9"/>
        <color rgb="FF000000"/>
        <rFont val="Noto Sans CJK KR"/>
        <family val="2"/>
      </rPr>
      <t xml:space="preserve">프리미엄 </t>
    </r>
    <r>
      <rPr>
        <sz val="9"/>
        <color rgb="FF000000"/>
        <rFont val="Arial"/>
        <family val="0"/>
        <charset val="1"/>
      </rPr>
      <t xml:space="preserve">$29~39 </t>
    </r>
    <r>
      <rPr>
        <sz val="9"/>
        <color rgb="FF000000"/>
        <rFont val="Noto Sans CJK KR"/>
        <family val="2"/>
      </rPr>
      <t xml:space="preserve">대비 </t>
    </r>
    <r>
      <rPr>
        <sz val="9"/>
        <color rgb="FF000000"/>
        <rFont val="Arial"/>
        <family val="0"/>
        <charset val="1"/>
      </rPr>
      <t xml:space="preserve">T3 $34 — '</t>
    </r>
    <r>
      <rPr>
        <sz val="9"/>
        <color rgb="FF000000"/>
        <rFont val="Noto Sans CJK KR"/>
        <family val="2"/>
      </rPr>
      <t xml:space="preserve">비슷한 가격에 </t>
    </r>
    <r>
      <rPr>
        <sz val="9"/>
        <color rgb="FF000000"/>
        <rFont val="Arial"/>
        <family val="0"/>
        <charset val="1"/>
      </rPr>
      <t xml:space="preserve">Jung </t>
    </r>
    <r>
      <rPr>
        <sz val="9"/>
        <color rgb="FF000000"/>
        <rFont val="Noto Sans CJK KR"/>
        <family val="2"/>
      </rPr>
      <t xml:space="preserve">원전 깊이</t>
    </r>
    <r>
      <rPr>
        <sz val="9"/>
        <color rgb="FF000000"/>
        <rFont val="Arial"/>
        <family val="0"/>
        <charset val="1"/>
      </rPr>
      <t xml:space="preserve">' </t>
    </r>
    <r>
      <rPr>
        <sz val="9"/>
        <color rgb="FF000000"/>
        <rFont val="Noto Sans CJK KR"/>
        <family val="2"/>
      </rPr>
      <t xml:space="preserve">포지셔닝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KR"/>
        <family val="2"/>
      </rPr>
      <t xml:space="preserve">가격 경쟁력 충분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</si>
  <si>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✅ T1 </t>
    </r>
    <r>
      <rPr>
        <sz val="9"/>
        <color rgb="FF000000"/>
        <rFont val="Noto Sans CJK KR"/>
        <family val="2"/>
      </rPr>
      <t xml:space="preserve">제휴 </t>
    </r>
    <r>
      <rPr>
        <sz val="9"/>
        <color rgb="FF000000"/>
        <rFont val="Arial"/>
        <family val="0"/>
        <charset val="1"/>
      </rPr>
      <t xml:space="preserve">70%: Hotmart </t>
    </r>
    <r>
      <rPr>
        <sz val="9"/>
        <color rgb="FF000000"/>
        <rFont val="Noto Sans CJK KR"/>
        <family val="2"/>
      </rPr>
      <t xml:space="preserve">상위 </t>
    </r>
    <r>
      <rPr>
        <sz val="9"/>
        <color rgb="FF000000"/>
        <rFont val="Arial"/>
        <family val="0"/>
        <charset val="1"/>
      </rPr>
      <t xml:space="preserve">5% </t>
    </r>
    <r>
      <rPr>
        <sz val="9"/>
        <color rgb="FF000000"/>
        <rFont val="Noto Sans CJK KR"/>
        <family val="2"/>
      </rPr>
      <t xml:space="preserve">수준 파격 → 제휴 마켓에서 즉시 눈에 띔 → 바이럴 엔진 점화</t>
    </r>
    <r>
      <rPr>
        <sz val="9"/>
        <color rgb="FF000000"/>
        <rFont val="Arial"/>
        <family val="0"/>
        <charset val="1"/>
      </rPr>
      <t xml:space="preserve">.</t>
    </r>
  </si>
  <si>
    <r>
      <rPr>
        <b val="true"/>
        <sz val="12"/>
        <color rgb="FFFFFFFF"/>
        <rFont val="Arial"/>
        <family val="0"/>
        <charset val="1"/>
      </rPr>
      <t xml:space="preserve">🌟 8</t>
    </r>
    <r>
      <rPr>
        <b val="true"/>
        <sz val="12"/>
        <color rgb="FFFFFFFF"/>
        <rFont val="Noto Sans CJK KR"/>
        <family val="2"/>
      </rPr>
      <t xml:space="preserve">유형 </t>
    </r>
    <r>
      <rPr>
        <b val="true"/>
        <sz val="12"/>
        <color rgb="FFFFFFFF"/>
        <rFont val="Arial"/>
        <family val="0"/>
        <charset val="1"/>
      </rPr>
      <t xml:space="preserve">× 3</t>
    </r>
    <r>
      <rPr>
        <b val="true"/>
        <sz val="12"/>
        <color rgb="FFFFFFFF"/>
        <rFont val="Noto Sans CJK KR"/>
        <family val="2"/>
      </rPr>
      <t xml:space="preserve">티어 월 손익 대시보드 — </t>
    </r>
    <r>
      <rPr>
        <b val="true"/>
        <sz val="12"/>
        <color rgb="FFFFFFFF"/>
        <rFont val="Arial"/>
        <family val="0"/>
        <charset val="1"/>
      </rPr>
      <t xml:space="preserve">M1 </t>
    </r>
    <r>
      <rPr>
        <b val="true"/>
        <sz val="12"/>
        <color rgb="FFFFFFFF"/>
        <rFont val="Noto Sans CJK KR"/>
        <family val="2"/>
      </rPr>
      <t xml:space="preserve">기준 </t>
    </r>
    <r>
      <rPr>
        <b val="true"/>
        <sz val="12"/>
        <color rgb="FFFFFFFF"/>
        <rFont val="Arial"/>
        <family val="0"/>
        <charset val="1"/>
      </rPr>
      <t xml:space="preserve">· 3</t>
    </r>
    <r>
      <rPr>
        <b val="true"/>
        <sz val="12"/>
        <color rgb="FFFFFFFF"/>
        <rFont val="Noto Sans CJK KR"/>
        <family val="2"/>
      </rPr>
      <t xml:space="preserve">국 가중평균 </t>
    </r>
    <r>
      <rPr>
        <b val="true"/>
        <sz val="12"/>
        <color rgb="FFFFFFFF"/>
        <rFont val="Arial"/>
        <family val="0"/>
        <charset val="1"/>
      </rPr>
      <t xml:space="preserve">· </t>
    </r>
    <r>
      <rPr>
        <b val="true"/>
        <sz val="12"/>
        <color rgb="FFFFFFFF"/>
        <rFont val="Noto Sans CJK KR"/>
        <family val="2"/>
      </rPr>
      <t xml:space="preserve">제휴 중심</t>
    </r>
  </si>
  <si>
    <r>
      <rPr>
        <sz val="9"/>
        <color rgb="FF595959"/>
        <rFont val="Noto Sans CJK KR"/>
        <family val="2"/>
      </rPr>
      <t xml:space="preserve">가정값 시트 전환율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KR"/>
        <family val="2"/>
      </rPr>
      <t xml:space="preserve">가중평균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KR"/>
        <family val="2"/>
      </rPr>
      <t xml:space="preserve">기준 </t>
    </r>
    <r>
      <rPr>
        <sz val="9"/>
        <color rgb="FF595959"/>
        <rFont val="Arial"/>
        <family val="0"/>
        <charset val="1"/>
      </rPr>
      <t xml:space="preserve">· T1 </t>
    </r>
    <r>
      <rPr>
        <sz val="9"/>
        <color rgb="FF595959"/>
        <rFont val="Noto Sans CJK KR"/>
        <family val="2"/>
      </rPr>
      <t xml:space="preserve">제휴</t>
    </r>
    <r>
      <rPr>
        <sz val="9"/>
        <color rgb="FF595959"/>
        <rFont val="Arial"/>
        <family val="0"/>
        <charset val="1"/>
      </rPr>
      <t xml:space="preserve">80%/T2 30%/T3 10% · $15/$27/$34 </t>
    </r>
    <r>
      <rPr>
        <sz val="9"/>
        <color rgb="FF595959"/>
        <rFont val="Noto Sans CJK KR"/>
        <family val="2"/>
      </rPr>
      <t xml:space="preserve">적용</t>
    </r>
  </si>
  <si>
    <r>
      <rPr>
        <i val="true"/>
        <sz val="8"/>
        <color rgb="FF595959"/>
        <rFont val="Noto Sans CJK KR"/>
        <family val="2"/>
      </rPr>
      <t xml:space="preserve">수량 기준</t>
    </r>
    <r>
      <rPr>
        <i val="true"/>
        <sz val="8"/>
        <color rgb="FF595959"/>
        <rFont val="Arial"/>
        <family val="0"/>
        <charset val="1"/>
      </rPr>
      <t xml:space="preserve">: (3</t>
    </r>
    <r>
      <rPr>
        <i val="true"/>
        <sz val="8"/>
        <color rgb="FF595959"/>
        <rFont val="Noto Sans CJK KR"/>
        <family val="2"/>
      </rPr>
      <t xml:space="preserve">국 가중평균 진단수 </t>
    </r>
    <r>
      <rPr>
        <i val="true"/>
        <sz val="8"/>
        <color rgb="FF595959"/>
        <rFont val="Arial"/>
        <family val="0"/>
        <charset val="1"/>
      </rPr>
      <t xml:space="preserve">× </t>
    </r>
    <r>
      <rPr>
        <i val="true"/>
        <sz val="8"/>
        <color rgb="FF595959"/>
        <rFont val="Noto Sans CJK KR"/>
        <family val="2"/>
      </rPr>
      <t xml:space="preserve">이메일율 </t>
    </r>
    <r>
      <rPr>
        <i val="true"/>
        <sz val="8"/>
        <color rgb="FF595959"/>
        <rFont val="Arial"/>
        <family val="0"/>
        <charset val="1"/>
      </rPr>
      <t xml:space="preserve">÷ 8</t>
    </r>
    <r>
      <rPr>
        <i val="true"/>
        <sz val="8"/>
        <color rgb="FF595959"/>
        <rFont val="Noto Sans CJK KR"/>
        <family val="2"/>
      </rPr>
      <t xml:space="preserve">유형</t>
    </r>
    <r>
      <rPr>
        <i val="true"/>
        <sz val="8"/>
        <color rgb="FF595959"/>
        <rFont val="Arial"/>
        <family val="0"/>
        <charset val="1"/>
      </rPr>
      <t xml:space="preserve">) × </t>
    </r>
    <r>
      <rPr>
        <i val="true"/>
        <sz val="8"/>
        <color rgb="FF595959"/>
        <rFont val="Noto Sans CJK KR"/>
        <family val="2"/>
      </rPr>
      <t xml:space="preserve">각 전환율</t>
    </r>
  </si>
  <si>
    <t xml:space="preserve">유형</t>
  </si>
  <si>
    <r>
      <rPr>
        <b val="true"/>
        <sz val="9"/>
        <color rgb="FFFFFFFF"/>
        <rFont val="Arial"/>
        <family val="0"/>
        <charset val="1"/>
      </rPr>
      <t xml:space="preserve">T1 </t>
    </r>
    <r>
      <rPr>
        <b val="true"/>
        <sz val="9"/>
        <color rgb="FFFFFFFF"/>
        <rFont val="Noto Sans CJK KR"/>
        <family val="2"/>
      </rPr>
      <t xml:space="preserve">수량</t>
    </r>
  </si>
  <si>
    <r>
      <rPr>
        <b val="true"/>
        <sz val="9"/>
        <color rgb="FFFFFFFF"/>
        <rFont val="Arial"/>
        <family val="0"/>
        <charset val="1"/>
      </rPr>
      <t xml:space="preserve">T2 </t>
    </r>
    <r>
      <rPr>
        <b val="true"/>
        <sz val="9"/>
        <color rgb="FFFFFFFF"/>
        <rFont val="Noto Sans CJK KR"/>
        <family val="2"/>
      </rPr>
      <t xml:space="preserve">수량</t>
    </r>
  </si>
  <si>
    <r>
      <rPr>
        <b val="true"/>
        <sz val="9"/>
        <color rgb="FFFFFFFF"/>
        <rFont val="Arial"/>
        <family val="0"/>
        <charset val="1"/>
      </rPr>
      <t xml:space="preserve">T3 </t>
    </r>
    <r>
      <rPr>
        <b val="true"/>
        <sz val="9"/>
        <color rgb="FFFFFFFF"/>
        <rFont val="Noto Sans CJK KR"/>
        <family val="2"/>
      </rPr>
      <t xml:space="preserve">수량</t>
    </r>
  </si>
  <si>
    <r>
      <rPr>
        <b val="true"/>
        <sz val="9"/>
        <color rgb="FFFFFFFF"/>
        <rFont val="Arial"/>
        <family val="0"/>
        <charset val="1"/>
      </rPr>
      <t xml:space="preserve">T1 </t>
    </r>
    <r>
      <rPr>
        <b val="true"/>
        <sz val="9"/>
        <color rgb="FFFFFFFF"/>
        <rFont val="Noto Sans CJK KR"/>
        <family val="2"/>
      </rPr>
      <t xml:space="preserve">매출</t>
    </r>
  </si>
  <si>
    <r>
      <rPr>
        <b val="true"/>
        <sz val="9"/>
        <color rgb="FFFFFFFF"/>
        <rFont val="Arial"/>
        <family val="0"/>
        <charset val="1"/>
      </rPr>
      <t xml:space="preserve">T2 </t>
    </r>
    <r>
      <rPr>
        <b val="true"/>
        <sz val="9"/>
        <color rgb="FFFFFFFF"/>
        <rFont val="Noto Sans CJK KR"/>
        <family val="2"/>
      </rPr>
      <t xml:space="preserve">매출</t>
    </r>
  </si>
  <si>
    <r>
      <rPr>
        <b val="true"/>
        <sz val="9"/>
        <color rgb="FFFFFFFF"/>
        <rFont val="Arial"/>
        <family val="0"/>
        <charset val="1"/>
      </rPr>
      <t xml:space="preserve">T3 </t>
    </r>
    <r>
      <rPr>
        <b val="true"/>
        <sz val="9"/>
        <color rgb="FFFFFFFF"/>
        <rFont val="Noto Sans CJK KR"/>
        <family val="2"/>
      </rPr>
      <t xml:space="preserve">매출</t>
    </r>
  </si>
  <si>
    <t xml:space="preserve">Gross</t>
  </si>
  <si>
    <t xml:space="preserve">제휴 차감</t>
  </si>
  <si>
    <t xml:space="preserve">민철님 수익</t>
  </si>
  <si>
    <t xml:space="preserve">수익률</t>
  </si>
  <si>
    <t xml:space="preserve">SPARK</t>
  </si>
  <si>
    <t xml:space="preserve">VISION</t>
  </si>
  <si>
    <t xml:space="preserve">PLAYER</t>
  </si>
  <si>
    <t xml:space="preserve">STEADY</t>
  </si>
  <si>
    <t xml:space="preserve">LEADER</t>
  </si>
  <si>
    <t xml:space="preserve">LOGIC</t>
  </si>
  <si>
    <t xml:space="preserve">HARMONY</t>
  </si>
  <si>
    <t xml:space="preserve">SOUL</t>
  </si>
  <si>
    <r>
      <rPr>
        <b val="true"/>
        <sz val="9"/>
        <color rgb="FF000000"/>
        <rFont val="Arial"/>
        <family val="0"/>
        <charset val="1"/>
      </rPr>
      <t xml:space="preserve">8</t>
    </r>
    <r>
      <rPr>
        <b val="true"/>
        <sz val="9"/>
        <color rgb="FF000000"/>
        <rFont val="Noto Sans CJK KR"/>
        <family val="2"/>
      </rPr>
      <t xml:space="preserve">유형 합계</t>
    </r>
  </si>
  <si>
    <r>
      <rPr>
        <b val="true"/>
        <sz val="11"/>
        <color rgb="FFFFFFFF"/>
        <rFont val="Noto Sans CJK KR"/>
        <family val="2"/>
      </rPr>
      <t xml:space="preserve">💰 민철님 실수령 요약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건당 </t>
    </r>
    <r>
      <rPr>
        <b val="true"/>
        <sz val="11"/>
        <color rgb="FFFFFFFF"/>
        <rFont val="Arial"/>
        <family val="0"/>
        <charset val="1"/>
      </rPr>
      <t xml:space="preserve">· M1 </t>
    </r>
    <r>
      <rPr>
        <b val="true"/>
        <sz val="11"/>
        <color rgb="FFFFFFFF"/>
        <rFont val="Noto Sans CJK KR"/>
        <family val="2"/>
      </rPr>
      <t xml:space="preserve">가중평균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</si>
  <si>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구분</t>
  </si>
  <si>
    <t xml:space="preserve">건당 순액</t>
  </si>
  <si>
    <r>
      <rPr>
        <b val="true"/>
        <sz val="9"/>
        <color rgb="FF1A1A1A"/>
        <rFont val="Noto Sans CJK KR"/>
        <family val="2"/>
      </rPr>
      <t xml:space="preserve">제휴사</t>
    </r>
    <r>
      <rPr>
        <b val="true"/>
        <sz val="9"/>
        <color rgb="FF1A1A1A"/>
        <rFont val="Arial"/>
        <family val="0"/>
        <charset val="1"/>
      </rPr>
      <t xml:space="preserve">/</t>
    </r>
    <r>
      <rPr>
        <b val="true"/>
        <sz val="9"/>
        <color rgb="FF1A1A1A"/>
        <rFont val="Noto Sans CJK KR"/>
        <family val="2"/>
      </rPr>
      <t xml:space="preserve">건</t>
    </r>
  </si>
  <si>
    <t xml:space="preserve">T1 · $15</t>
  </si>
  <si>
    <r>
      <rPr>
        <i val="true"/>
        <sz val="8"/>
        <color rgb="FF595959"/>
        <rFont val="Noto Sans CJK KR"/>
        <family val="2"/>
      </rPr>
      <t xml:space="preserve">제휴사 </t>
    </r>
    <r>
      <rPr>
        <i val="true"/>
        <sz val="8"/>
        <color rgb="FF595959"/>
        <rFont val="Arial"/>
        <family val="0"/>
        <charset val="1"/>
      </rPr>
      <t xml:space="preserve">70% · </t>
    </r>
    <r>
      <rPr>
        <i val="true"/>
        <sz val="8"/>
        <color rgb="FF595959"/>
        <rFont val="Noto Sans CJK KR"/>
        <family val="2"/>
      </rPr>
      <t xml:space="preserve">民 </t>
    </r>
    <r>
      <rPr>
        <i val="true"/>
        <sz val="8"/>
        <color rgb="FF595959"/>
        <rFont val="Arial"/>
        <family val="0"/>
        <charset val="1"/>
      </rPr>
      <t xml:space="preserve">30% · </t>
    </r>
    <r>
      <rPr>
        <i val="true"/>
        <sz val="8"/>
        <color rgb="FF595959"/>
        <rFont val="Noto Sans CJK KR"/>
        <family val="2"/>
      </rPr>
      <t xml:space="preserve">충동구매 미끼</t>
    </r>
  </si>
  <si>
    <t xml:space="preserve">T2 · $27</t>
  </si>
  <si>
    <r>
      <rPr>
        <i val="true"/>
        <sz val="8"/>
        <color rgb="FF595959"/>
        <rFont val="Noto Sans CJK KR"/>
        <family val="2"/>
      </rPr>
      <t xml:space="preserve">제휴사 </t>
    </r>
    <r>
      <rPr>
        <i val="true"/>
        <sz val="8"/>
        <color rgb="FF595959"/>
        <rFont val="Arial"/>
        <family val="0"/>
        <charset val="1"/>
      </rPr>
      <t xml:space="preserve">45% · </t>
    </r>
    <r>
      <rPr>
        <i val="true"/>
        <sz val="8"/>
        <color rgb="FF595959"/>
        <rFont val="Noto Sans CJK KR"/>
        <family val="2"/>
      </rPr>
      <t xml:space="preserve">民 </t>
    </r>
    <r>
      <rPr>
        <i val="true"/>
        <sz val="8"/>
        <color rgb="FF595959"/>
        <rFont val="Arial"/>
        <family val="0"/>
        <charset val="1"/>
      </rPr>
      <t xml:space="preserve">55% · </t>
    </r>
    <r>
      <rPr>
        <i val="true"/>
        <sz val="8"/>
        <color rgb="FF595959"/>
        <rFont val="Noto Sans CJK KR"/>
        <family val="2"/>
      </rPr>
      <t xml:space="preserve">깜짝선물 </t>
    </r>
    <r>
      <rPr>
        <i val="true"/>
        <sz val="8"/>
        <color rgb="FF595959"/>
        <rFont val="Arial"/>
        <family val="0"/>
        <charset val="1"/>
      </rPr>
      <t xml:space="preserve">D+3</t>
    </r>
  </si>
  <si>
    <t xml:space="preserve">T3 · $34</t>
  </si>
  <si>
    <r>
      <rPr>
        <i val="true"/>
        <sz val="8"/>
        <color rgb="FF595959"/>
        <rFont val="Noto Sans CJK KR"/>
        <family val="2"/>
      </rPr>
      <t xml:space="preserve">제휴사 </t>
    </r>
    <r>
      <rPr>
        <i val="true"/>
        <sz val="8"/>
        <color rgb="FF595959"/>
        <rFont val="Arial"/>
        <family val="0"/>
        <charset val="1"/>
      </rPr>
      <t xml:space="preserve">40% · </t>
    </r>
    <r>
      <rPr>
        <i val="true"/>
        <sz val="8"/>
        <color rgb="FF595959"/>
        <rFont val="Noto Sans CJK KR"/>
        <family val="2"/>
      </rPr>
      <t xml:space="preserve">民 </t>
    </r>
    <r>
      <rPr>
        <i val="true"/>
        <sz val="8"/>
        <color rgb="FF595959"/>
        <rFont val="Arial"/>
        <family val="0"/>
        <charset val="1"/>
      </rPr>
      <t xml:space="preserve">60% · </t>
    </r>
    <r>
      <rPr>
        <i val="true"/>
        <sz val="8"/>
        <color rgb="FF595959"/>
        <rFont val="Noto Sans CJK KR"/>
        <family val="2"/>
      </rPr>
      <t xml:space="preserve">완전판 </t>
    </r>
    <r>
      <rPr>
        <i val="true"/>
        <sz val="8"/>
        <color rgb="FF595959"/>
        <rFont val="Arial"/>
        <family val="0"/>
        <charset val="1"/>
      </rPr>
      <t xml:space="preserve">$5 </t>
    </r>
    <r>
      <rPr>
        <i val="true"/>
        <sz val="8"/>
        <color rgb="FF595959"/>
        <rFont val="Noto Sans CJK KR"/>
        <family val="2"/>
      </rPr>
      <t xml:space="preserve">더</t>
    </r>
  </si>
  <si>
    <r>
      <rPr>
        <b val="true"/>
        <sz val="10"/>
        <color rgb="FF1F3864"/>
        <rFont val="Noto Sans CJK KR"/>
        <family val="2"/>
      </rPr>
      <t xml:space="preserve">🔑 핵심</t>
    </r>
    <r>
      <rPr>
        <b val="true"/>
        <sz val="10"/>
        <color rgb="FF1F3864"/>
        <rFont val="Arial"/>
        <family val="0"/>
        <charset val="1"/>
      </rPr>
      <t xml:space="preserve">: T1</t>
    </r>
    <r>
      <rPr>
        <b val="true"/>
        <sz val="10"/>
        <color rgb="FF1F3864"/>
        <rFont val="Noto Sans CJK KR"/>
        <family val="2"/>
      </rPr>
      <t xml:space="preserve">은 제휴사를 위한 바이럴 엔진</t>
    </r>
    <r>
      <rPr>
        <b val="true"/>
        <sz val="10"/>
        <color rgb="FF1F3864"/>
        <rFont val="Arial"/>
        <family val="0"/>
        <charset val="1"/>
      </rPr>
      <t xml:space="preserve">($8.40/</t>
    </r>
    <r>
      <rPr>
        <b val="true"/>
        <sz val="10"/>
        <color rgb="FF1F3864"/>
        <rFont val="Noto Sans CJK KR"/>
        <family val="2"/>
      </rPr>
      <t xml:space="preserve">건</t>
    </r>
    <r>
      <rPr>
        <b val="true"/>
        <sz val="10"/>
        <color rgb="FF1F3864"/>
        <rFont val="Arial"/>
        <family val="0"/>
        <charset val="1"/>
      </rPr>
      <t xml:space="preserve">). T2/T3 </t>
    </r>
    <r>
      <rPr>
        <b val="true"/>
        <sz val="10"/>
        <color rgb="FF1F3864"/>
        <rFont val="Noto Sans CJK KR"/>
        <family val="2"/>
      </rPr>
      <t xml:space="preserve">이메일 직접 업셀로 민철님 수익 극대화</t>
    </r>
    <r>
      <rPr>
        <b val="true"/>
        <sz val="10"/>
        <color rgb="FF1F3864"/>
        <rFont val="Arial"/>
        <family val="0"/>
        <charset val="1"/>
      </rPr>
      <t xml:space="preserve">. </t>
    </r>
    <r>
      <rPr>
        <b val="true"/>
        <sz val="10"/>
        <color rgb="FF1F3864"/>
        <rFont val="Noto Sans CJK KR"/>
        <family val="2"/>
      </rPr>
      <t xml:space="preserve">유형 추가할수록 선형 성장</t>
    </r>
    <r>
      <rPr>
        <b val="true"/>
        <sz val="10"/>
        <color rgb="FF1F3864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</si>
</sst>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0.0%;\(0.0%\);\-"/>
    <numFmt numFmtId="167" formatCode="#,##0;\(#,##0\);\-"/>
    <numFmt numFmtId="168" formatCode="#,##0.0;\(#,##0.0\);\-"/>
    <numFmt numFmtId="169" formatCode="\$#,##0;&quot;($&quot;#,##0\);\-"/>
    <numFmt numFmtId="170" formatCode="\₩#,##0;&quot;(₩&quot;#,##0\);\-"/>
    <numFmt numFmtId="171" formatCode="0.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Noto Sans CJK KR"/>
      <family val="2"/>
    </font>
    <font>
      <sz val="9"/>
      <color rgb="FF595959"/>
      <name val="Noto Sans CJK KR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KR"/>
      <family val="2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Noto Sans CJK KR"/>
      <family val="2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i val="true"/>
      <sz val="8"/>
      <color rgb="FF595959"/>
      <name val="Noto Sans CJK KR"/>
      <family val="2"/>
    </font>
    <font>
      <sz val="9"/>
      <color rgb="FF000000"/>
      <name val="Noto Sans CJK KR"/>
      <family val="2"/>
    </font>
    <font>
      <sz val="8"/>
      <color rgb="FF595959"/>
      <name val="Arial"/>
      <family val="0"/>
      <charset val="1"/>
    </font>
    <font>
      <sz val="8"/>
      <color rgb="FF595959"/>
      <name val="Noto Sans CJK KR"/>
      <family val="2"/>
    </font>
    <font>
      <b val="true"/>
      <sz val="9"/>
      <color rgb="FF1A1A1A"/>
      <name val="Noto Sans CJK KR"/>
      <family val="2"/>
    </font>
    <font>
      <b val="true"/>
      <sz val="9"/>
      <color rgb="FF1A1A1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C55A11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9"/>
      <color rgb="FF000000"/>
      <name val="Noto Sans CJK KR"/>
      <family val="2"/>
    </font>
    <font>
      <b val="true"/>
      <sz val="9"/>
      <color rgb="FF375623"/>
      <name val="Arial"/>
      <family val="0"/>
      <charset val="1"/>
    </font>
    <font>
      <b val="true"/>
      <sz val="9"/>
      <color rgb="FF375623"/>
      <name val="Noto Sans CJK KR"/>
      <family val="2"/>
    </font>
    <font>
      <b val="true"/>
      <sz val="12"/>
      <color rgb="FFFFFFFF"/>
      <name val="Noto Sans CJK KR"/>
      <family val="2"/>
    </font>
    <font>
      <b val="true"/>
      <sz val="12"/>
      <color rgb="FFFFFFFF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9"/>
      <color rgb="FFC55A11"/>
      <name val="Noto Sans CJK KR"/>
      <family val="2"/>
    </font>
    <font>
      <b val="true"/>
      <sz val="10"/>
      <color rgb="FF1F3864"/>
      <name val="Noto Sans CJK KR"/>
      <family val="2"/>
    </font>
    <font>
      <b val="true"/>
      <sz val="10"/>
      <color rgb="FF1F3864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1A1A1A"/>
      </patternFill>
    </fill>
    <fill>
      <patternFill patternType="solid">
        <fgColor rgb="FFF5F5F5"/>
        <bgColor rgb="FFFFFFFF"/>
      </patternFill>
    </fill>
    <fill>
      <patternFill patternType="solid">
        <fgColor rgb="FF2E75B6"/>
        <bgColor rgb="FF1F6B75"/>
      </patternFill>
    </fill>
    <fill>
      <patternFill patternType="solid">
        <fgColor rgb="FF1F6B75"/>
        <bgColor rgb="FF008080"/>
      </patternFill>
    </fill>
    <fill>
      <patternFill patternType="solid">
        <fgColor rgb="FFC9A84C"/>
        <bgColor rgb="FFAAAAAA"/>
      </patternFill>
    </fill>
    <fill>
      <patternFill patternType="solid">
        <fgColor rgb="FF5B2D8E"/>
        <bgColor rgb="FF1F3864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D5E8D4"/>
      </patternFill>
    </fill>
    <fill>
      <patternFill patternType="solid">
        <fgColor rgb="FFFFF2CC"/>
        <bgColor rgb="FFFCE4D6"/>
      </patternFill>
    </fill>
    <fill>
      <patternFill patternType="solid">
        <fgColor rgb="FFD9D9D9"/>
        <bgColor rgb="FFE1D5E7"/>
      </patternFill>
    </fill>
    <fill>
      <patternFill patternType="solid">
        <fgColor rgb="FF5A5A5A"/>
        <bgColor rgb="FF595959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F2CC"/>
      </patternFill>
    </fill>
    <fill>
      <patternFill patternType="solid">
        <fgColor rgb="FFFFE699"/>
        <bgColor rgb="FFFFF2CC"/>
      </patternFill>
    </fill>
    <fill>
      <patternFill patternType="solid">
        <fgColor rgb="FFFFFFFF"/>
        <bgColor rgb="FFF5F5F5"/>
      </patternFill>
    </fill>
    <fill>
      <patternFill patternType="solid">
        <fgColor rgb="FFDAE8FC"/>
        <bgColor rgb="FFD6E4F0"/>
      </patternFill>
    </fill>
    <fill>
      <patternFill patternType="solid">
        <fgColor rgb="FFD5E8D4"/>
        <bgColor rgb="FFE2EFDA"/>
      </patternFill>
    </fill>
    <fill>
      <patternFill patternType="solid">
        <fgColor rgb="FFE1D5E7"/>
        <bgColor rgb="FFD9D9D9"/>
      </patternFill>
    </fill>
    <fill>
      <patternFill patternType="solid">
        <fgColor rgb="FFF8CECC"/>
        <bgColor rgb="FFE1D5E7"/>
      </patternFill>
    </fill>
    <fill>
      <patternFill patternType="solid">
        <fgColor rgb="FFD6E4F0"/>
        <bgColor rgb="FFDAE8F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1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1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1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2" fillId="1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1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2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2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5F5F5"/>
      <rgbColor rgb="FFFF00FF"/>
      <rgbColor rgb="FF00FFFF"/>
      <rgbColor rgb="FF800000"/>
      <rgbColor rgb="FF008000"/>
      <rgbColor rgb="FF000080"/>
      <rgbColor rgb="FF808000"/>
      <rgbColor rgb="FF800080"/>
      <rgbColor rgb="FF1F6B75"/>
      <rgbColor rgb="FFBBBBBB"/>
      <rgbColor rgb="FF595959"/>
      <rgbColor rgb="FFD5E8D4"/>
      <rgbColor rgb="FF993366"/>
      <rgbColor rgb="FFFFF2CC"/>
      <rgbColor rgb="FFDAE8FC"/>
      <rgbColor rgb="FF660066"/>
      <rgbColor rgb="FFFF8080"/>
      <rgbColor rgb="FF0066CC"/>
      <rgbColor rgb="FFE1D5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E699"/>
      <rgbColor rgb="FFCCCCCC"/>
      <rgbColor rgb="FFFCE4D6"/>
      <rgbColor rgb="FFD9D9D9"/>
      <rgbColor rgb="FFF8CECC"/>
      <rgbColor rgb="FF2E75B6"/>
      <rgbColor rgb="FF33CCCC"/>
      <rgbColor rgb="FF99CC00"/>
      <rgbColor rgb="FFFFCC00"/>
      <rgbColor rgb="FFC9A84C"/>
      <rgbColor rgb="FFC55A11"/>
      <rgbColor rgb="FF5A5A5A"/>
      <rgbColor rgb="FFAAAAAA"/>
      <rgbColor rgb="FF1F3864"/>
      <rgbColor rgb="FF339966"/>
      <rgbColor rgb="FF003300"/>
      <rgbColor rgb="FF375623"/>
      <rgbColor rgb="FF993300"/>
      <rgbColor rgb="FF993366"/>
      <rgbColor rgb="FF5B2D8E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6" min="4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true" outlineLevel="0" collapsed="false">
      <c r="A6" s="5" t="s">
        <v>6</v>
      </c>
      <c r="B6" s="6" t="n">
        <v>15</v>
      </c>
      <c r="C6" s="7" t="s">
        <v>7</v>
      </c>
    </row>
    <row r="7" customFormat="false" ht="15" hidden="false" customHeight="true" outlineLevel="0" collapsed="false">
      <c r="A7" s="5" t="s">
        <v>8</v>
      </c>
      <c r="B7" s="6" t="n">
        <v>27</v>
      </c>
      <c r="C7" s="7" t="s">
        <v>9</v>
      </c>
    </row>
    <row r="8" customFormat="false" ht="15" hidden="false" customHeight="true" outlineLevel="0" collapsed="false">
      <c r="A8" s="5" t="s">
        <v>10</v>
      </c>
      <c r="B8" s="6" t="n">
        <v>34</v>
      </c>
      <c r="C8" s="7" t="s">
        <v>11</v>
      </c>
    </row>
    <row r="9" customFormat="false" ht="15" hidden="false" customHeight="true" outlineLevel="0" collapsed="false">
      <c r="A9" s="5" t="s">
        <v>12</v>
      </c>
      <c r="B9" s="6" t="n">
        <v>0</v>
      </c>
      <c r="C9" s="7" t="s">
        <v>13</v>
      </c>
    </row>
    <row r="11" customFormat="false" ht="19.5" hidden="false" customHeight="true" outlineLevel="0" collapsed="false">
      <c r="A11" s="8" t="s">
        <v>14</v>
      </c>
    </row>
    <row r="12" customFormat="false" ht="15" hidden="false" customHeight="false" outlineLevel="0" collapsed="false">
      <c r="A12" s="4" t="s">
        <v>15</v>
      </c>
      <c r="B12" s="4" t="s">
        <v>16</v>
      </c>
      <c r="C12" s="4" t="s">
        <v>17</v>
      </c>
    </row>
    <row r="13" customFormat="false" ht="15" hidden="false" customHeight="false" outlineLevel="0" collapsed="false">
      <c r="A13" s="5" t="s">
        <v>18</v>
      </c>
      <c r="B13" s="9" t="n">
        <v>0.2</v>
      </c>
      <c r="C13" s="10" t="s">
        <v>19</v>
      </c>
    </row>
    <row r="14" customFormat="false" ht="15" hidden="false" customHeight="false" outlineLevel="0" collapsed="false">
      <c r="A14" s="5" t="s">
        <v>20</v>
      </c>
      <c r="B14" s="9" t="n">
        <v>0.099</v>
      </c>
      <c r="C14" s="10" t="s">
        <v>21</v>
      </c>
    </row>
    <row r="15" customFormat="false" ht="15" hidden="false" customHeight="false" outlineLevel="0" collapsed="false">
      <c r="A15" s="5" t="s">
        <v>22</v>
      </c>
      <c r="B15" s="9" t="n">
        <v>0.099</v>
      </c>
      <c r="C15" s="10" t="s">
        <v>21</v>
      </c>
    </row>
    <row r="16" customFormat="false" ht="15" hidden="false" customHeight="false" outlineLevel="0" collapsed="false">
      <c r="A16" s="11" t="s">
        <v>23</v>
      </c>
      <c r="B16" s="6" t="n">
        <v>0.5</v>
      </c>
      <c r="C16" s="10" t="s">
        <v>24</v>
      </c>
    </row>
    <row r="18" customFormat="false" ht="19.5" hidden="false" customHeight="true" outlineLevel="0" collapsed="false">
      <c r="A18" s="12" t="s">
        <v>25</v>
      </c>
    </row>
    <row r="19" customFormat="false" ht="15" hidden="false" customHeight="false" outlineLevel="0" collapsed="false">
      <c r="A19" s="13" t="s">
        <v>26</v>
      </c>
      <c r="B19" s="13" t="s">
        <v>27</v>
      </c>
      <c r="C19" s="13" t="s">
        <v>28</v>
      </c>
      <c r="D19" s="13" t="s">
        <v>29</v>
      </c>
      <c r="E19" s="13" t="s">
        <v>30</v>
      </c>
    </row>
    <row r="20" customFormat="false" ht="15" hidden="false" customHeight="false" outlineLevel="0" collapsed="false">
      <c r="A20" s="5" t="s">
        <v>31</v>
      </c>
      <c r="B20" s="9" t="n">
        <v>0.7</v>
      </c>
      <c r="C20" s="14" t="n">
        <f aca="false">B6*(1-B13)*B20</f>
        <v>8.4</v>
      </c>
      <c r="D20" s="14" t="n">
        <f aca="false">B6*(1-B13)*(1-B20)</f>
        <v>3.6</v>
      </c>
      <c r="E20" s="15" t="s">
        <v>32</v>
      </c>
    </row>
    <row r="21" customFormat="false" ht="15" hidden="false" customHeight="false" outlineLevel="0" collapsed="false">
      <c r="A21" s="5" t="s">
        <v>33</v>
      </c>
      <c r="B21" s="9" t="n">
        <v>0.45</v>
      </c>
      <c r="C21" s="14" t="n">
        <f aca="false">(B7*(1-B14)-B16)*B21</f>
        <v>10.72215</v>
      </c>
      <c r="D21" s="14" t="n">
        <f aca="false">(B7*(1-B14)-B16)*(1-B21)</f>
        <v>13.10485</v>
      </c>
      <c r="E21" s="7" t="s">
        <v>34</v>
      </c>
    </row>
    <row r="22" customFormat="false" ht="15" hidden="false" customHeight="false" outlineLevel="0" collapsed="false">
      <c r="A22" s="5" t="s">
        <v>35</v>
      </c>
      <c r="B22" s="9" t="n">
        <v>0.4</v>
      </c>
      <c r="C22" s="14" t="n">
        <f aca="false">(B8*(1-B15)-B16)*B22</f>
        <v>12.0536</v>
      </c>
      <c r="D22" s="14" t="n">
        <f aca="false">(B8*(1-B15)-B16)*(1-B22)</f>
        <v>18.0804</v>
      </c>
      <c r="E22" s="7" t="s">
        <v>36</v>
      </c>
    </row>
    <row r="24" customFormat="false" ht="19.5" hidden="false" customHeight="true" outlineLevel="0" collapsed="false">
      <c r="A24" s="3" t="s">
        <v>37</v>
      </c>
    </row>
    <row r="25" customFormat="false" ht="15" hidden="false" customHeight="false" outlineLevel="0" collapsed="false">
      <c r="A25" s="16" t="s">
        <v>26</v>
      </c>
      <c r="B25" s="16" t="s">
        <v>38</v>
      </c>
      <c r="C25" s="16" t="s">
        <v>39</v>
      </c>
      <c r="D25" s="16" t="s">
        <v>40</v>
      </c>
    </row>
    <row r="26" customFormat="false" ht="15" hidden="false" customHeight="false" outlineLevel="0" collapsed="false">
      <c r="A26" s="5" t="s">
        <v>41</v>
      </c>
      <c r="B26" s="9" t="n">
        <v>0.8</v>
      </c>
      <c r="C26" s="17" t="n">
        <f aca="false">1-B26</f>
        <v>0.2</v>
      </c>
      <c r="D26" s="10" t="s">
        <v>42</v>
      </c>
    </row>
    <row r="27" customFormat="false" ht="15" hidden="false" customHeight="false" outlineLevel="0" collapsed="false">
      <c r="A27" s="5" t="s">
        <v>43</v>
      </c>
      <c r="B27" s="9" t="n">
        <v>0.3</v>
      </c>
      <c r="C27" s="17" t="n">
        <f aca="false">1-B27</f>
        <v>0.7</v>
      </c>
      <c r="D27" s="18" t="s">
        <v>44</v>
      </c>
    </row>
    <row r="28" customFormat="false" ht="15" hidden="false" customHeight="false" outlineLevel="0" collapsed="false">
      <c r="A28" s="5" t="s">
        <v>45</v>
      </c>
      <c r="B28" s="9" t="n">
        <v>0.1</v>
      </c>
      <c r="C28" s="17" t="n">
        <f aca="false">1-B28</f>
        <v>0.9</v>
      </c>
      <c r="D28" s="18" t="s">
        <v>46</v>
      </c>
    </row>
    <row r="30" customFormat="false" ht="19.5" hidden="false" customHeight="true" outlineLevel="0" collapsed="false">
      <c r="A30" s="19" t="s">
        <v>47</v>
      </c>
    </row>
    <row r="31" customFormat="false" ht="15" hidden="false" customHeight="false" outlineLevel="0" collapsed="false">
      <c r="A31" s="20" t="s">
        <v>15</v>
      </c>
      <c r="B31" s="20" t="s">
        <v>48</v>
      </c>
      <c r="C31" s="20" t="s">
        <v>49</v>
      </c>
      <c r="D31" s="20" t="s">
        <v>50</v>
      </c>
      <c r="E31" s="20" t="s">
        <v>51</v>
      </c>
      <c r="F31" s="20" t="s">
        <v>52</v>
      </c>
    </row>
    <row r="32" customFormat="false" ht="15" hidden="false" customHeight="false" outlineLevel="0" collapsed="false">
      <c r="A32" s="11" t="s">
        <v>53</v>
      </c>
      <c r="B32" s="21" t="n">
        <v>3000</v>
      </c>
      <c r="C32" s="21" t="n">
        <v>1200</v>
      </c>
      <c r="D32" s="21" t="n">
        <v>800</v>
      </c>
      <c r="E32" s="22" t="n">
        <f aca="false">B32*0.5+C32*0.3+D32*0.2</f>
        <v>2020</v>
      </c>
      <c r="F32" s="15" t="s">
        <v>54</v>
      </c>
    </row>
    <row r="33" customFormat="false" ht="15" hidden="false" customHeight="false" outlineLevel="0" collapsed="false">
      <c r="A33" s="11" t="s">
        <v>55</v>
      </c>
      <c r="B33" s="9" t="n">
        <v>0.62</v>
      </c>
      <c r="C33" s="9" t="n">
        <v>0.58</v>
      </c>
      <c r="D33" s="9" t="n">
        <v>0.65</v>
      </c>
      <c r="E33" s="17" t="n">
        <f aca="false">B33*0.5+C33*0.3+D33*0.2</f>
        <v>0.614</v>
      </c>
      <c r="F33" s="7" t="s">
        <v>56</v>
      </c>
    </row>
    <row r="34" customFormat="false" ht="15" hidden="false" customHeight="false" outlineLevel="0" collapsed="false">
      <c r="A34" s="11" t="s">
        <v>57</v>
      </c>
      <c r="B34" s="9" t="n">
        <v>0.08</v>
      </c>
      <c r="C34" s="9" t="n">
        <v>0.07</v>
      </c>
      <c r="D34" s="9" t="n">
        <v>0.1</v>
      </c>
      <c r="E34" s="17" t="n">
        <f aca="false">B34*0.5+C34*0.3+D34*0.2</f>
        <v>0.081</v>
      </c>
      <c r="F34" s="15" t="s">
        <v>58</v>
      </c>
    </row>
    <row r="35" customFormat="false" ht="15" hidden="false" customHeight="false" outlineLevel="0" collapsed="false">
      <c r="A35" s="5" t="s">
        <v>59</v>
      </c>
      <c r="B35" s="9" t="n">
        <v>0.38</v>
      </c>
      <c r="C35" s="9" t="n">
        <v>0.35</v>
      </c>
      <c r="D35" s="9" t="n">
        <v>0.42</v>
      </c>
      <c r="E35" s="17" t="n">
        <f aca="false">B35*0.5+C35*0.3+D35*0.2</f>
        <v>0.379</v>
      </c>
      <c r="F35" s="15" t="s">
        <v>60</v>
      </c>
    </row>
    <row r="36" customFormat="false" ht="15" hidden="false" customHeight="false" outlineLevel="0" collapsed="false">
      <c r="A36" s="5" t="s">
        <v>61</v>
      </c>
      <c r="B36" s="9" t="n">
        <v>0.23</v>
      </c>
      <c r="C36" s="9" t="n">
        <v>0.2</v>
      </c>
      <c r="D36" s="9" t="n">
        <v>0.28</v>
      </c>
      <c r="E36" s="17" t="n">
        <f aca="false">B36*0.5+C36*0.3+D36*0.2</f>
        <v>0.231</v>
      </c>
      <c r="F36" s="7" t="s">
        <v>62</v>
      </c>
    </row>
    <row r="37" customFormat="false" ht="15" hidden="false" customHeight="false" outlineLevel="0" collapsed="false">
      <c r="A37" s="11" t="s">
        <v>63</v>
      </c>
      <c r="B37" s="9" t="n">
        <v>0.18</v>
      </c>
      <c r="C37" s="9" t="n">
        <v>0.15</v>
      </c>
      <c r="D37" s="9" t="n">
        <v>0.22</v>
      </c>
      <c r="E37" s="17" t="n">
        <f aca="false">B37*0.5+C37*0.3+D37*0.2</f>
        <v>0.179</v>
      </c>
      <c r="F37" s="7" t="s">
        <v>64</v>
      </c>
    </row>
    <row r="39" customFormat="false" ht="19.5" hidden="false" customHeight="true" outlineLevel="0" collapsed="false">
      <c r="A39" s="23" t="s">
        <v>65</v>
      </c>
    </row>
    <row r="40" customFormat="false" ht="15" hidden="false" customHeight="false" outlineLevel="0" collapsed="false">
      <c r="A40" s="24" t="s">
        <v>26</v>
      </c>
      <c r="B40" s="24" t="s">
        <v>66</v>
      </c>
      <c r="C40" s="25" t="s">
        <v>67</v>
      </c>
      <c r="D40" s="24" t="s">
        <v>68</v>
      </c>
      <c r="E40" s="24" t="s">
        <v>69</v>
      </c>
      <c r="F40" s="24" t="s">
        <v>70</v>
      </c>
    </row>
    <row r="41" customFormat="false" ht="15" hidden="false" customHeight="false" outlineLevel="0" collapsed="false">
      <c r="A41" s="26" t="s">
        <v>71</v>
      </c>
      <c r="B41" s="27" t="n">
        <f aca="false">B6</f>
        <v>15</v>
      </c>
      <c r="C41" s="28" t="n">
        <f aca="false">B6*B13</f>
        <v>3</v>
      </c>
      <c r="D41" s="29" t="n">
        <f aca="false">B6*(1-B13)</f>
        <v>12</v>
      </c>
      <c r="E41" s="30" t="n">
        <f aca="false">B6*(1-B13)*B20</f>
        <v>8.4</v>
      </c>
      <c r="F41" s="31" t="n">
        <f aca="false">B6*(1-B13)*(1-B20)</f>
        <v>3.6</v>
      </c>
    </row>
    <row r="42" customFormat="false" ht="15" hidden="false" customHeight="false" outlineLevel="0" collapsed="false">
      <c r="A42" s="26" t="s">
        <v>72</v>
      </c>
      <c r="B42" s="27" t="n">
        <f aca="false">B7</f>
        <v>27</v>
      </c>
      <c r="C42" s="28" t="n">
        <f aca="false">B7*B14+B16</f>
        <v>3.173</v>
      </c>
      <c r="D42" s="29" t="n">
        <f aca="false">B7*(1-B14)-B16</f>
        <v>23.827</v>
      </c>
      <c r="E42" s="30" t="n">
        <f aca="false">(B7*(1-B14)-B16)*B21</f>
        <v>10.72215</v>
      </c>
      <c r="F42" s="31" t="n">
        <f aca="false">(B7*(1-B14)-B16)*(1-B21)</f>
        <v>13.10485</v>
      </c>
    </row>
    <row r="43" customFormat="false" ht="15" hidden="false" customHeight="false" outlineLevel="0" collapsed="false">
      <c r="A43" s="26" t="s">
        <v>73</v>
      </c>
      <c r="B43" s="27" t="n">
        <f aca="false">B8</f>
        <v>34</v>
      </c>
      <c r="C43" s="28" t="n">
        <f aca="false">B8*B15+B16</f>
        <v>3.866</v>
      </c>
      <c r="D43" s="29" t="n">
        <f aca="false">B8*(1-B15)-B16</f>
        <v>30.134</v>
      </c>
      <c r="E43" s="30" t="n">
        <f aca="false">(B8*(1-B15)-B16)*B22</f>
        <v>12.0536</v>
      </c>
      <c r="F43" s="31" t="n">
        <f aca="false">(B8*(1-B15)-B16)*(1-B22)</f>
        <v>18.0804</v>
      </c>
    </row>
    <row r="45" customFormat="false" ht="19.5" hidden="false" customHeight="true" outlineLevel="0" collapsed="false">
      <c r="A45" s="32" t="s">
        <v>74</v>
      </c>
    </row>
    <row r="46" customFormat="false" ht="15" hidden="false" customHeight="false" outlineLevel="0" collapsed="false">
      <c r="A46" s="33" t="s">
        <v>75</v>
      </c>
      <c r="B46" s="34" t="s">
        <v>76</v>
      </c>
      <c r="C46" s="34" t="s">
        <v>77</v>
      </c>
      <c r="D46" s="34" t="s">
        <v>78</v>
      </c>
      <c r="E46" s="33" t="s">
        <v>79</v>
      </c>
    </row>
    <row r="47" customFormat="false" ht="15" hidden="false" customHeight="false" outlineLevel="0" collapsed="false">
      <c r="A47" s="5" t="s">
        <v>80</v>
      </c>
      <c r="B47" s="5" t="s">
        <v>81</v>
      </c>
      <c r="C47" s="5" t="s">
        <v>82</v>
      </c>
      <c r="D47" s="5" t="s">
        <v>83</v>
      </c>
      <c r="E47" s="5" t="s">
        <v>84</v>
      </c>
    </row>
    <row r="48" customFormat="false" ht="15" hidden="false" customHeight="false" outlineLevel="0" collapsed="false">
      <c r="A48" s="5" t="s">
        <v>85</v>
      </c>
      <c r="B48" s="5" t="s">
        <v>86</v>
      </c>
      <c r="C48" s="5" t="s">
        <v>81</v>
      </c>
      <c r="D48" s="5" t="s">
        <v>81</v>
      </c>
      <c r="E48" s="5" t="s">
        <v>87</v>
      </c>
    </row>
    <row r="49" customFormat="false" ht="15" hidden="false" customHeight="false" outlineLevel="0" collapsed="false">
      <c r="A49" s="5" t="s">
        <v>88</v>
      </c>
      <c r="B49" s="5" t="s">
        <v>81</v>
      </c>
      <c r="C49" s="5" t="s">
        <v>89</v>
      </c>
      <c r="D49" s="5" t="s">
        <v>81</v>
      </c>
      <c r="E49" s="5" t="s">
        <v>90</v>
      </c>
    </row>
    <row r="50" customFormat="false" ht="15" hidden="false" customHeight="false" outlineLevel="0" collapsed="false">
      <c r="A50" s="35" t="s">
        <v>91</v>
      </c>
      <c r="B50" s="35" t="s">
        <v>92</v>
      </c>
      <c r="C50" s="35" t="s">
        <v>93</v>
      </c>
      <c r="D50" s="35" t="s">
        <v>94</v>
      </c>
      <c r="E50" s="35" t="s">
        <v>95</v>
      </c>
    </row>
    <row r="52" customFormat="false" ht="30" hidden="false" customHeight="true" outlineLevel="0" collapsed="false">
      <c r="A52" s="36" t="s">
        <v>96</v>
      </c>
      <c r="B52" s="36"/>
      <c r="C52" s="36"/>
      <c r="D52" s="36"/>
      <c r="E52" s="36"/>
      <c r="F52" s="36"/>
    </row>
  </sheetData>
  <mergeCells count="3">
    <mergeCell ref="A1:F1"/>
    <mergeCell ref="A2:F2"/>
    <mergeCell ref="A52:F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14" min="3" style="0" width="13"/>
    <col collapsed="false" customWidth="true" hidden="false" outlineLevel="0" max="15" min="15" style="0" width="16"/>
  </cols>
  <sheetData>
    <row r="1" customFormat="false" ht="24" hidden="false" customHeight="true" outlineLevel="0" collapsed="false">
      <c r="A1" s="37" t="s">
        <v>97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customFormat="false" ht="14.15" hidden="false" customHeight="false" outlineLevel="0" collapsed="false">
      <c r="A2" s="2" t="s">
        <v>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9.5" hidden="false" customHeight="true" outlineLevel="0" collapsed="false">
      <c r="A4" s="38" t="s">
        <v>99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</row>
    <row r="5" customFormat="false" ht="15" hidden="false" customHeight="false" outlineLevel="0" collapsed="false">
      <c r="A5" s="16" t="s">
        <v>15</v>
      </c>
      <c r="B5" s="39" t="s">
        <v>100</v>
      </c>
      <c r="C5" s="39" t="s">
        <v>101</v>
      </c>
      <c r="D5" s="39" t="s">
        <v>102</v>
      </c>
      <c r="E5" s="39" t="s">
        <v>103</v>
      </c>
      <c r="F5" s="39" t="s">
        <v>104</v>
      </c>
      <c r="G5" s="39" t="s">
        <v>105</v>
      </c>
      <c r="H5" s="39" t="s">
        <v>106</v>
      </c>
      <c r="I5" s="39" t="s">
        <v>107</v>
      </c>
      <c r="J5" s="39" t="s">
        <v>108</v>
      </c>
      <c r="K5" s="39" t="s">
        <v>109</v>
      </c>
      <c r="L5" s="39" t="s">
        <v>110</v>
      </c>
      <c r="M5" s="39" t="s">
        <v>111</v>
      </c>
      <c r="N5" s="39" t="s">
        <v>112</v>
      </c>
      <c r="O5" s="39" t="s">
        <v>113</v>
      </c>
    </row>
    <row r="6" customFormat="false" ht="15" hidden="false" customHeight="false" outlineLevel="0" collapsed="false">
      <c r="A6" s="11" t="s">
        <v>114</v>
      </c>
      <c r="B6" s="15" t="s">
        <v>115</v>
      </c>
      <c r="C6" s="40" t="n">
        <f aca="false">가정값!B32</f>
        <v>3000</v>
      </c>
      <c r="D6" s="40" t="n">
        <f aca="false">가정값!B32*(1+가정값!B37)^1</f>
        <v>3540</v>
      </c>
      <c r="E6" s="40" t="n">
        <f aca="false">가정값!B32*(1+가정값!B37)^2</f>
        <v>4177.2</v>
      </c>
      <c r="F6" s="40" t="n">
        <f aca="false">가정값!B32*(1+가정값!B37)^3</f>
        <v>4929.096</v>
      </c>
      <c r="G6" s="40" t="n">
        <f aca="false">가정값!B32*(1+가정값!B37)^4</f>
        <v>5816.33328</v>
      </c>
      <c r="H6" s="40" t="n">
        <f aca="false">가정값!B32*(1+가정값!B37)^5</f>
        <v>6863.2732704</v>
      </c>
      <c r="I6" s="40" t="n">
        <f aca="false">가정값!B32*(1+가정값!B37)^6</f>
        <v>8098.662459072</v>
      </c>
      <c r="J6" s="40" t="n">
        <f aca="false">가정값!B32*(1+가정값!B37)^7</f>
        <v>9556.42170170496</v>
      </c>
      <c r="K6" s="40" t="n">
        <f aca="false">가정값!B32*(1+가정값!B37)^8</f>
        <v>11276.5776080118</v>
      </c>
      <c r="L6" s="40" t="n">
        <f aca="false">가정값!B32*(1+가정값!B37)^9</f>
        <v>13306.361577454</v>
      </c>
      <c r="M6" s="40" t="n">
        <f aca="false">가정값!B32*(1+가정값!B37)^10</f>
        <v>15701.5066613957</v>
      </c>
      <c r="N6" s="40" t="n">
        <f aca="false">가정값!B32*(1+가정값!B37)^11</f>
        <v>18527.7778604469</v>
      </c>
      <c r="O6" s="40" t="n">
        <f aca="false">SUM(C6:N6)</f>
        <v>104793.210418485</v>
      </c>
    </row>
    <row r="7" customFormat="false" ht="15" hidden="false" customHeight="false" outlineLevel="0" collapsed="false">
      <c r="A7" s="11" t="s">
        <v>116</v>
      </c>
      <c r="B7" s="15" t="s">
        <v>115</v>
      </c>
      <c r="C7" s="40" t="n">
        <f aca="false">C6*가정값!B33</f>
        <v>1860</v>
      </c>
      <c r="D7" s="40" t="n">
        <f aca="false">D6*가정값!B33</f>
        <v>2194.8</v>
      </c>
      <c r="E7" s="40" t="n">
        <f aca="false">E6*가정값!B33</f>
        <v>2589.864</v>
      </c>
      <c r="F7" s="40" t="n">
        <f aca="false">F6*가정값!B33</f>
        <v>3056.03952</v>
      </c>
      <c r="G7" s="40" t="n">
        <f aca="false">G6*가정값!B33</f>
        <v>3606.1266336</v>
      </c>
      <c r="H7" s="40" t="n">
        <f aca="false">H6*가정값!B33</f>
        <v>4255.229427648</v>
      </c>
      <c r="I7" s="40" t="n">
        <f aca="false">I6*가정값!B33</f>
        <v>5021.17072462464</v>
      </c>
      <c r="J7" s="40" t="n">
        <f aca="false">J6*가정값!B33</f>
        <v>5924.98145505707</v>
      </c>
      <c r="K7" s="40" t="n">
        <f aca="false">K6*가정값!B33</f>
        <v>6991.47811696735</v>
      </c>
      <c r="L7" s="40" t="n">
        <f aca="false">L6*가정값!B33</f>
        <v>8249.94417802147</v>
      </c>
      <c r="M7" s="40" t="n">
        <f aca="false">M6*가정값!B33</f>
        <v>9734.93413006533</v>
      </c>
      <c r="N7" s="40" t="n">
        <f aca="false">N6*가정값!B33</f>
        <v>11487.2222734771</v>
      </c>
      <c r="O7" s="40" t="n">
        <f aca="false">SUM(C7:N7)</f>
        <v>64971.790459461</v>
      </c>
    </row>
    <row r="8" customFormat="false" ht="15" hidden="false" customHeight="false" outlineLevel="0" collapsed="false">
      <c r="A8" s="5" t="s">
        <v>117</v>
      </c>
      <c r="B8" s="15" t="s">
        <v>115</v>
      </c>
      <c r="C8" s="40" t="n">
        <f aca="false">C7*가정값!B34*8</f>
        <v>1190.4</v>
      </c>
      <c r="D8" s="40" t="n">
        <f aca="false">D7*가정값!B34*8</f>
        <v>1404.672</v>
      </c>
      <c r="E8" s="40" t="n">
        <f aca="false">E7*가정값!B34*8</f>
        <v>1657.51296</v>
      </c>
      <c r="F8" s="40" t="n">
        <f aca="false">F7*가정값!B34*8</f>
        <v>1955.8652928</v>
      </c>
      <c r="G8" s="40" t="n">
        <f aca="false">G7*가정값!B34*8</f>
        <v>2307.921045504</v>
      </c>
      <c r="H8" s="40" t="n">
        <f aca="false">H7*가정값!B34*8</f>
        <v>2723.34683369472</v>
      </c>
      <c r="I8" s="40" t="n">
        <f aca="false">I7*가정값!B34*8</f>
        <v>3213.54926375977</v>
      </c>
      <c r="J8" s="40" t="n">
        <f aca="false">J7*가정값!B34*8</f>
        <v>3791.98813123653</v>
      </c>
      <c r="K8" s="40" t="n">
        <f aca="false">K7*가정값!B34*8</f>
        <v>4474.5459948591</v>
      </c>
      <c r="L8" s="40" t="n">
        <f aca="false">L7*가정값!B34*8</f>
        <v>5279.96427393374</v>
      </c>
      <c r="M8" s="40" t="n">
        <f aca="false">M7*가정값!B34*8</f>
        <v>6230.35784324181</v>
      </c>
      <c r="N8" s="40" t="n">
        <f aca="false">N7*가정값!B34*8</f>
        <v>7351.82225502534</v>
      </c>
      <c r="O8" s="40" t="n">
        <f aca="false">SUM(C8:N8)</f>
        <v>41581.945894055</v>
      </c>
    </row>
    <row r="9" customFormat="false" ht="15" hidden="false" customHeight="false" outlineLevel="0" collapsed="false">
      <c r="A9" s="5" t="s">
        <v>118</v>
      </c>
      <c r="B9" s="15" t="s">
        <v>115</v>
      </c>
      <c r="C9" s="40" t="n">
        <f aca="false">C8*가정값!B35</f>
        <v>452.352</v>
      </c>
      <c r="D9" s="40" t="n">
        <f aca="false">D8*가정값!B35</f>
        <v>533.77536</v>
      </c>
      <c r="E9" s="40" t="n">
        <f aca="false">E8*가정값!B35</f>
        <v>629.8549248</v>
      </c>
      <c r="F9" s="40" t="n">
        <f aca="false">F8*가정값!B35</f>
        <v>743.228811264</v>
      </c>
      <c r="G9" s="40" t="n">
        <f aca="false">G8*가정값!B35</f>
        <v>877.00999729152</v>
      </c>
      <c r="H9" s="40" t="n">
        <f aca="false">H8*가정값!B35</f>
        <v>1034.87179680399</v>
      </c>
      <c r="I9" s="40" t="n">
        <f aca="false">I8*가정값!B35</f>
        <v>1221.14872022871</v>
      </c>
      <c r="J9" s="40" t="n">
        <f aca="false">J8*가정값!B35</f>
        <v>1440.95548986988</v>
      </c>
      <c r="K9" s="40" t="n">
        <f aca="false">K8*가정값!B35</f>
        <v>1700.32747804646</v>
      </c>
      <c r="L9" s="40" t="n">
        <f aca="false">L8*가정값!B35</f>
        <v>2006.38642409482</v>
      </c>
      <c r="M9" s="40" t="n">
        <f aca="false">M8*가정값!B35</f>
        <v>2367.53598043189</v>
      </c>
      <c r="N9" s="40" t="n">
        <f aca="false">N8*가정값!B35</f>
        <v>2793.69245690963</v>
      </c>
      <c r="O9" s="40" t="n">
        <f aca="false">SUM(C9:N9)</f>
        <v>15801.1394397409</v>
      </c>
    </row>
    <row r="10" customFormat="false" ht="15" hidden="false" customHeight="false" outlineLevel="0" collapsed="false">
      <c r="A10" s="5" t="s">
        <v>119</v>
      </c>
      <c r="B10" s="15" t="s">
        <v>115</v>
      </c>
      <c r="C10" s="40" t="n">
        <f aca="false">C9*가정값!B36</f>
        <v>104.04096</v>
      </c>
      <c r="D10" s="40" t="n">
        <f aca="false">D9*가정값!B36</f>
        <v>122.7683328</v>
      </c>
      <c r="E10" s="40" t="n">
        <f aca="false">E9*가정값!B36</f>
        <v>144.866632704</v>
      </c>
      <c r="F10" s="40" t="n">
        <f aca="false">F9*가정값!B36</f>
        <v>170.94262659072</v>
      </c>
      <c r="G10" s="40" t="n">
        <f aca="false">G9*가정값!B36</f>
        <v>201.71229937705</v>
      </c>
      <c r="H10" s="40" t="n">
        <f aca="false">H9*가정값!B36</f>
        <v>238.020513264919</v>
      </c>
      <c r="I10" s="40" t="n">
        <f aca="false">I9*가정값!B36</f>
        <v>280.864205652604</v>
      </c>
      <c r="J10" s="40" t="n">
        <f aca="false">J9*가정값!B36</f>
        <v>331.419762670073</v>
      </c>
      <c r="K10" s="40" t="n">
        <f aca="false">K9*가정값!B36</f>
        <v>391.075319950685</v>
      </c>
      <c r="L10" s="40" t="n">
        <f aca="false">L9*가정값!B36</f>
        <v>461.468877541809</v>
      </c>
      <c r="M10" s="40" t="n">
        <f aca="false">M9*가정값!B36</f>
        <v>544.533275499334</v>
      </c>
      <c r="N10" s="40" t="n">
        <f aca="false">N9*가정값!B36</f>
        <v>642.549265089215</v>
      </c>
      <c r="O10" s="40" t="n">
        <f aca="false">SUM(C10:N10)</f>
        <v>3634.26207114041</v>
      </c>
    </row>
    <row r="11" customFormat="false" ht="15" hidden="false" customHeight="false" outlineLevel="0" collapsed="false">
      <c r="A11" s="5" t="s">
        <v>120</v>
      </c>
      <c r="B11" s="41"/>
      <c r="C11" s="42" t="n">
        <f aca="false">C8*가정값!$B$6</f>
        <v>17856</v>
      </c>
      <c r="D11" s="42" t="n">
        <f aca="false">D8*가정값!$B$6</f>
        <v>21070.08</v>
      </c>
      <c r="E11" s="42" t="n">
        <f aca="false">E8*가정값!$B$6</f>
        <v>24862.6944</v>
      </c>
      <c r="F11" s="42" t="n">
        <f aca="false">F8*가정값!$B$6</f>
        <v>29337.979392</v>
      </c>
      <c r="G11" s="42" t="n">
        <f aca="false">G8*가정값!$B$6</f>
        <v>34618.81568256</v>
      </c>
      <c r="H11" s="42" t="n">
        <f aca="false">H8*가정값!$B$6</f>
        <v>40850.2025054208</v>
      </c>
      <c r="I11" s="42" t="n">
        <f aca="false">I8*가정값!$B$6</f>
        <v>48203.2389563965</v>
      </c>
      <c r="J11" s="42" t="n">
        <f aca="false">J8*가정값!$B$6</f>
        <v>56879.8219685479</v>
      </c>
      <c r="K11" s="42" t="n">
        <f aca="false">K8*가정값!$B$6</f>
        <v>67118.1899228865</v>
      </c>
      <c r="L11" s="42" t="n">
        <f aca="false">L8*가정값!$B$6</f>
        <v>79199.4641090061</v>
      </c>
      <c r="M11" s="42" t="n">
        <f aca="false">M8*가정값!$B$6</f>
        <v>93455.3676486272</v>
      </c>
      <c r="N11" s="42" t="n">
        <f aca="false">N8*가정값!$B$6</f>
        <v>110277.33382538</v>
      </c>
      <c r="O11" s="42" t="n">
        <f aca="false">SUM(C11:N11)</f>
        <v>623729.188410825</v>
      </c>
    </row>
    <row r="12" customFormat="false" ht="15" hidden="false" customHeight="false" outlineLevel="0" collapsed="false">
      <c r="A12" s="5" t="s">
        <v>121</v>
      </c>
      <c r="B12" s="41"/>
      <c r="C12" s="42" t="n">
        <f aca="false">C9*가정값!$B$7</f>
        <v>12213.504</v>
      </c>
      <c r="D12" s="42" t="n">
        <f aca="false">D9*가정값!$B$7</f>
        <v>14411.93472</v>
      </c>
      <c r="E12" s="42" t="n">
        <f aca="false">E9*가정값!$B$7</f>
        <v>17006.0829696</v>
      </c>
      <c r="F12" s="42" t="n">
        <f aca="false">F9*가정값!$B$7</f>
        <v>20067.177904128</v>
      </c>
      <c r="G12" s="42" t="n">
        <f aca="false">G9*가정값!$B$7</f>
        <v>23679.269926871</v>
      </c>
      <c r="H12" s="42" t="n">
        <f aca="false">H9*가정값!$B$7</f>
        <v>27941.5385137078</v>
      </c>
      <c r="I12" s="42" t="n">
        <f aca="false">I9*가정값!$B$7</f>
        <v>32971.0154461752</v>
      </c>
      <c r="J12" s="42" t="n">
        <f aca="false">J9*가정값!$B$7</f>
        <v>38905.7982264868</v>
      </c>
      <c r="K12" s="42" t="n">
        <f aca="false">K9*가정값!$B$7</f>
        <v>45908.8419072544</v>
      </c>
      <c r="L12" s="42" t="n">
        <f aca="false">L9*가정값!$B$7</f>
        <v>54172.4334505602</v>
      </c>
      <c r="M12" s="42" t="n">
        <f aca="false">M9*가정값!$B$7</f>
        <v>63923.471471661</v>
      </c>
      <c r="N12" s="42" t="n">
        <f aca="false">N9*가정값!$B$7</f>
        <v>75429.69633656</v>
      </c>
      <c r="O12" s="42" t="n">
        <f aca="false">SUM(C12:N12)</f>
        <v>426630.764873004</v>
      </c>
    </row>
    <row r="13" customFormat="false" ht="15" hidden="false" customHeight="false" outlineLevel="0" collapsed="false">
      <c r="A13" s="5" t="s">
        <v>122</v>
      </c>
      <c r="B13" s="41"/>
      <c r="C13" s="42" t="n">
        <f aca="false">C10*가정값!$B$8</f>
        <v>3537.39264</v>
      </c>
      <c r="D13" s="42" t="n">
        <f aca="false">D10*가정값!$B$8</f>
        <v>4174.1233152</v>
      </c>
      <c r="E13" s="42" t="n">
        <f aca="false">E10*가정값!$B$8</f>
        <v>4925.465511936</v>
      </c>
      <c r="F13" s="42" t="n">
        <f aca="false">F10*가정값!$B$8</f>
        <v>5812.04930408448</v>
      </c>
      <c r="G13" s="42" t="n">
        <f aca="false">G10*가정값!$B$8</f>
        <v>6858.21817881969</v>
      </c>
      <c r="H13" s="42" t="n">
        <f aca="false">H10*가정값!$B$8</f>
        <v>8092.69745100723</v>
      </c>
      <c r="I13" s="42" t="n">
        <f aca="false">I10*가정값!$B$8</f>
        <v>9549.38299218853</v>
      </c>
      <c r="J13" s="42" t="n">
        <f aca="false">J10*가정값!$B$8</f>
        <v>11268.2719307825</v>
      </c>
      <c r="K13" s="42" t="n">
        <f aca="false">K10*가정값!$B$8</f>
        <v>13296.5608783233</v>
      </c>
      <c r="L13" s="42" t="n">
        <f aca="false">L10*가정값!$B$8</f>
        <v>15689.9418364215</v>
      </c>
      <c r="M13" s="42" t="n">
        <f aca="false">M10*가정값!$B$8</f>
        <v>18514.1313669774</v>
      </c>
      <c r="N13" s="42" t="n">
        <f aca="false">N10*가정값!$B$8</f>
        <v>21846.6750130333</v>
      </c>
      <c r="O13" s="42" t="n">
        <f aca="false">SUM(C13:N13)</f>
        <v>123564.910418774</v>
      </c>
    </row>
    <row r="14" customFormat="false" ht="15" hidden="false" customHeight="false" outlineLevel="0" collapsed="false">
      <c r="A14" s="43" t="s">
        <v>123</v>
      </c>
      <c r="B14" s="44"/>
      <c r="C14" s="45" t="n">
        <f aca="false">C11+C12+C13</f>
        <v>33606.89664</v>
      </c>
      <c r="D14" s="45" t="n">
        <f aca="false">D11+D12+D13</f>
        <v>39656.1380352</v>
      </c>
      <c r="E14" s="45" t="n">
        <f aca="false">E11+E12+E13</f>
        <v>46794.242881536</v>
      </c>
      <c r="F14" s="45" t="n">
        <f aca="false">F11+F12+F13</f>
        <v>55217.2066002125</v>
      </c>
      <c r="G14" s="45" t="n">
        <f aca="false">G11+G12+G13</f>
        <v>65156.3037882507</v>
      </c>
      <c r="H14" s="45" t="n">
        <f aca="false">H11+H12+H13</f>
        <v>76884.4384701359</v>
      </c>
      <c r="I14" s="45" t="n">
        <f aca="false">I11+I12+I13</f>
        <v>90723.6373947603</v>
      </c>
      <c r="J14" s="45" t="n">
        <f aca="false">J11+J12+J13</f>
        <v>107053.892125817</v>
      </c>
      <c r="K14" s="45" t="n">
        <f aca="false">K11+K12+K13</f>
        <v>126323.592708464</v>
      </c>
      <c r="L14" s="45" t="n">
        <f aca="false">L11+L12+L13</f>
        <v>149061.839395988</v>
      </c>
      <c r="M14" s="45" t="n">
        <f aca="false">M11+M12+M13</f>
        <v>175892.970487266</v>
      </c>
      <c r="N14" s="45" t="n">
        <f aca="false">N11+N12+N13</f>
        <v>207553.705174973</v>
      </c>
      <c r="O14" s="45" t="n">
        <f aca="false">SUM(C14:N14)</f>
        <v>1173924.8637026</v>
      </c>
    </row>
    <row r="15" customFormat="false" ht="15" hidden="false" customHeight="false" outlineLevel="0" collapsed="false">
      <c r="A15" s="11" t="s">
        <v>124</v>
      </c>
      <c r="B15" s="41"/>
      <c r="C15" s="42" t="n">
        <f aca="false">-(C11*가정값!$B$13+C12*가정값!$B$14+C9*가정값!$B$16+C13*가정값!$B$15+C10*가정값!$B$16)</f>
        <v>-5408.73524736</v>
      </c>
      <c r="D15" s="42" t="n">
        <f aca="false">-(D11*가정값!$B$13+D12*가정값!$B$14+D9*가정값!$B$16+D13*가정값!$B$15+D10*가정값!$B$16)</f>
        <v>-6382.3075918848</v>
      </c>
      <c r="E15" s="42" t="n">
        <f aca="false">-(E11*가정값!$B$13+E12*가정값!$B$14+E9*가정값!$B$16+E13*가정값!$B$15+E10*가정값!$B$16)</f>
        <v>-7531.12295842406</v>
      </c>
      <c r="F15" s="42" t="n">
        <f aca="false">-(F11*가정값!$B$13+F12*가정값!$B$14+F9*가정값!$B$16+F13*가정값!$B$15+F10*가정값!$B$16)</f>
        <v>-8886.7250909404</v>
      </c>
      <c r="G15" s="42" t="n">
        <f aca="false">-(G11*가정값!$B$13+G12*가정값!$B$14+G9*가정값!$B$16+G13*가정값!$B$15+G10*가정값!$B$16)</f>
        <v>-10486.3356073097</v>
      </c>
      <c r="H15" s="42" t="n">
        <f aca="false">-(H11*가정값!$B$13+H12*가정값!$B$14+H9*가정값!$B$16+H13*가정값!$B$15+H10*가정값!$B$16)</f>
        <v>-12373.8760166254</v>
      </c>
      <c r="I15" s="42" t="n">
        <f aca="false">-(I11*가정값!$B$13+I12*가정값!$B$14+I9*가정값!$B$16+I13*가정값!$B$15+I10*가정값!$B$16)</f>
        <v>-14601.173699618</v>
      </c>
      <c r="J15" s="42" t="n">
        <f aca="false">-(J11*가정값!$B$13+J12*가정값!$B$14+J9*가정값!$B$16+J13*가정값!$B$15+J10*가정값!$B$16)</f>
        <v>-17229.3849655492</v>
      </c>
      <c r="K15" s="42" t="n">
        <f aca="false">-(K11*가정값!$B$13+K12*가정값!$B$14+K9*가정값!$B$16+K13*가정값!$B$15+K10*가정값!$B$16)</f>
        <v>-20330.6742593481</v>
      </c>
      <c r="L15" s="42" t="n">
        <f aca="false">-(L11*가정값!$B$13+L12*가정값!$B$14+L9*가정값!$B$16+L13*가정값!$B$15+L10*가정값!$B$16)</f>
        <v>-23990.1956260307</v>
      </c>
      <c r="M15" s="42" t="n">
        <f aca="false">-(M11*가정값!$B$13+M12*가정값!$B$14+M9*가정값!$B$16+M13*가정값!$B$15+M10*가정값!$B$16)</f>
        <v>-28308.4308387162</v>
      </c>
      <c r="N15" s="42" t="n">
        <f aca="false">-(N11*가정값!$B$13+N12*가정값!$B$14+N9*가정값!$B$16+N13*가정값!$B$15+N10*가정값!$B$16)</f>
        <v>-33403.9483896852</v>
      </c>
      <c r="O15" s="42" t="n">
        <f aca="false">SUM(C15:N15)</f>
        <v>-188932.910291492</v>
      </c>
    </row>
    <row r="16" customFormat="false" ht="15" hidden="false" customHeight="false" outlineLevel="0" collapsed="false">
      <c r="A16" s="11" t="s">
        <v>125</v>
      </c>
      <c r="B16" s="41"/>
      <c r="C16" s="42" t="n">
        <f aca="false">-(C11*(1-가정값!$B$13)*가정값!$B$20*가정값!$B$26+(C12*(1-가정값!$B$14)-C9*가정값!$B$16)*가정값!$B$21*가정값!$B$27+(C13*(1-가정값!$B$15)-C10*가정값!$B$16)*가정값!$B$22*가정값!$B$28)</f>
        <v>-9579.9506105856</v>
      </c>
      <c r="D16" s="42" t="n">
        <f aca="false">-(D11*(1-가정값!$B$13)*가정값!$B$20*가정값!$B$26+(D12*(1-가정값!$B$14)-D9*가정값!$B$16)*가정값!$B$21*가정값!$B$27+(D13*(1-가정값!$B$15)-D10*가정값!$B$16)*가정값!$B$22*가정값!$B$28)</f>
        <v>-11304.341720491</v>
      </c>
      <c r="E16" s="42" t="n">
        <f aca="false">-(E11*(1-가정값!$B$13)*가정값!$B$20*가정값!$B$26+(E12*(1-가정값!$B$14)-E9*가정값!$B$16)*가정값!$B$21*가정값!$B$27+(E13*(1-가정값!$B$15)-E10*가정값!$B$16)*가정값!$B$22*가정값!$B$28)</f>
        <v>-13339.1232301794</v>
      </c>
      <c r="F16" s="42" t="n">
        <f aca="false">-(F11*(1-가정값!$B$13)*가정값!$B$20*가정값!$B$26+(F12*(1-가정값!$B$14)-F9*가정값!$B$16)*가정값!$B$21*가정값!$B$27+(F13*(1-가정값!$B$15)-F10*가정값!$B$16)*가정값!$B$22*가정값!$B$28)</f>
        <v>-15740.1654116117</v>
      </c>
      <c r="G16" s="42" t="n">
        <f aca="false">-(G11*(1-가정값!$B$13)*가정값!$B$20*가정값!$B$26+(G12*(1-가정값!$B$14)-G9*가정값!$B$16)*가정값!$B$21*가정값!$B$27+(G13*(1-가정값!$B$15)-G10*가정값!$B$16)*가정값!$B$22*가정값!$B$28)</f>
        <v>-18573.3951857018</v>
      </c>
      <c r="H16" s="42" t="n">
        <f aca="false">-(H11*(1-가정값!$B$13)*가정값!$B$20*가정값!$B$26+(H12*(1-가정값!$B$14)-H9*가정값!$B$16)*가정값!$B$21*가정값!$B$27+(H13*(1-가정값!$B$15)-H10*가정값!$B$16)*가정값!$B$22*가정값!$B$28)</f>
        <v>-21916.6063191281</v>
      </c>
      <c r="I16" s="42" t="n">
        <f aca="false">-(I11*(1-가정값!$B$13)*가정값!$B$20*가정값!$B$26+(I12*(1-가정값!$B$14)-I9*가정값!$B$16)*가정값!$B$21*가정값!$B$27+(I13*(1-가정값!$B$15)-I10*가정값!$B$16)*가정값!$B$22*가정값!$B$28)</f>
        <v>-25861.5954565712</v>
      </c>
      <c r="J16" s="42" t="n">
        <f aca="false">-(J11*(1-가정값!$B$13)*가정값!$B$20*가정값!$B$26+(J12*(1-가정값!$B$14)-J9*가정값!$B$16)*가정값!$B$21*가정값!$B$27+(J13*(1-가정값!$B$15)-J10*가정값!$B$16)*가정값!$B$22*가정값!$B$28)</f>
        <v>-30516.682638754</v>
      </c>
      <c r="K16" s="42" t="n">
        <f aca="false">-(K11*(1-가정값!$B$13)*가정값!$B$20*가정값!$B$26+(K12*(1-가정값!$B$14)-K9*가정값!$B$16)*가정값!$B$21*가정값!$B$27+(K13*(1-가정값!$B$15)-K10*가정값!$B$16)*가정값!$B$22*가정값!$B$28)</f>
        <v>-36009.6855137297</v>
      </c>
      <c r="L16" s="42" t="n">
        <f aca="false">-(L11*(1-가정값!$B$13)*가정값!$B$20*가정값!$B$26+(L12*(1-가정값!$B$14)-L9*가정값!$B$16)*가정값!$B$21*가정값!$B$27+(L13*(1-가정값!$B$15)-L10*가정값!$B$16)*가정값!$B$22*가정값!$B$28)</f>
        <v>-42491.428906201</v>
      </c>
      <c r="M16" s="42" t="n">
        <f aca="false">-(M11*(1-가정값!$B$13)*가정값!$B$20*가정값!$B$26+(M12*(1-가정값!$B$14)-M9*가정값!$B$16)*가정값!$B$21*가정값!$B$27+(M13*(1-가정값!$B$15)-M10*가정값!$B$16)*가정값!$B$22*가정값!$B$28)</f>
        <v>-50139.8861093172</v>
      </c>
      <c r="N16" s="42" t="n">
        <f aca="false">-(N11*(1-가정값!$B$13)*가정값!$B$20*가정값!$B$26+(N12*(1-가정값!$B$14)-N9*가정값!$B$16)*가정값!$B$21*가정값!$B$27+(N13*(1-가정값!$B$15)-N10*가정값!$B$16)*가정값!$B$22*가정값!$B$28)</f>
        <v>-59165.0656089943</v>
      </c>
      <c r="O16" s="42" t="n">
        <f aca="false">SUM(C16:N16)</f>
        <v>-334637.926711265</v>
      </c>
    </row>
    <row r="17" customFormat="false" ht="15" hidden="false" customHeight="false" outlineLevel="0" collapsed="false">
      <c r="A17" s="46" t="s">
        <v>126</v>
      </c>
      <c r="B17" s="47"/>
      <c r="C17" s="48" t="n">
        <f aca="false">C14+C15+C16</f>
        <v>18618.2107820544</v>
      </c>
      <c r="D17" s="48" t="n">
        <f aca="false">D14+D15+D16</f>
        <v>21969.4887228242</v>
      </c>
      <c r="E17" s="48" t="n">
        <f aca="false">E14+E15+E16</f>
        <v>25923.9966929326</v>
      </c>
      <c r="F17" s="48" t="n">
        <f aca="false">F14+F15+F16</f>
        <v>30590.3160976604</v>
      </c>
      <c r="G17" s="48" t="n">
        <f aca="false">G14+G15+G16</f>
        <v>36096.5729952393</v>
      </c>
      <c r="H17" s="48" t="n">
        <f aca="false">H14+H15+H16</f>
        <v>42593.9561343823</v>
      </c>
      <c r="I17" s="48" t="n">
        <f aca="false">I14+I15+I16</f>
        <v>50260.8682385712</v>
      </c>
      <c r="J17" s="48" t="n">
        <f aca="false">J14+J15+J16</f>
        <v>59307.824521514</v>
      </c>
      <c r="K17" s="48" t="n">
        <f aca="false">K14+K15+K16</f>
        <v>69983.2329353865</v>
      </c>
      <c r="L17" s="48" t="n">
        <f aca="false">L14+L15+L16</f>
        <v>82580.214863756</v>
      </c>
      <c r="M17" s="48" t="n">
        <f aca="false">M14+M15+M16</f>
        <v>97444.6535392321</v>
      </c>
      <c r="N17" s="48" t="n">
        <f aca="false">N14+N15+N16</f>
        <v>114984.691176294</v>
      </c>
      <c r="O17" s="48" t="n">
        <f aca="false">SUM(C17:N17)</f>
        <v>650354.026699847</v>
      </c>
    </row>
    <row r="18" customFormat="false" ht="15" hidden="false" customHeight="false" outlineLevel="0" collapsed="false">
      <c r="A18" s="46" t="s">
        <v>127</v>
      </c>
      <c r="B18" s="47"/>
      <c r="C18" s="48" t="n">
        <f aca="false">C17</f>
        <v>18618.2107820544</v>
      </c>
      <c r="D18" s="48" t="n">
        <f aca="false">C18+D17</f>
        <v>40587.6995048786</v>
      </c>
      <c r="E18" s="48" t="n">
        <f aca="false">D18+E17</f>
        <v>66511.6961978111</v>
      </c>
      <c r="F18" s="48" t="n">
        <f aca="false">E18+F17</f>
        <v>97102.0122954715</v>
      </c>
      <c r="G18" s="48" t="n">
        <f aca="false">F18+G17</f>
        <v>133198.585290711</v>
      </c>
      <c r="H18" s="48" t="n">
        <f aca="false">G18+H17</f>
        <v>175792.541425093</v>
      </c>
      <c r="I18" s="48" t="n">
        <f aca="false">H18+I17</f>
        <v>226053.409663664</v>
      </c>
      <c r="J18" s="48" t="n">
        <f aca="false">I18+J17</f>
        <v>285361.234185178</v>
      </c>
      <c r="K18" s="48" t="n">
        <f aca="false">J18+K17</f>
        <v>355344.467120565</v>
      </c>
      <c r="L18" s="48" t="n">
        <f aca="false">K18+L17</f>
        <v>437924.681984321</v>
      </c>
      <c r="M18" s="48" t="n">
        <f aca="false">L18+M17</f>
        <v>535369.335523553</v>
      </c>
      <c r="N18" s="48" t="n">
        <f aca="false">M18+N17</f>
        <v>650354.026699847</v>
      </c>
      <c r="O18" s="48" t="n">
        <f aca="false">N18</f>
        <v>650354.026699847</v>
      </c>
    </row>
    <row r="19" customFormat="false" ht="15" hidden="false" customHeight="false" outlineLevel="0" collapsed="false">
      <c r="A19" s="43" t="s">
        <v>128</v>
      </c>
      <c r="C19" s="45" t="n">
        <f aca="false">C17</f>
        <v>18618.2107820544</v>
      </c>
      <c r="D19" s="45" t="n">
        <f aca="false">D17</f>
        <v>21969.4887228242</v>
      </c>
      <c r="E19" s="45" t="n">
        <f aca="false">E17</f>
        <v>25923.9966929326</v>
      </c>
      <c r="F19" s="45" t="n">
        <f aca="false">F17</f>
        <v>30590.3160976604</v>
      </c>
      <c r="G19" s="45" t="n">
        <f aca="false">G17</f>
        <v>36096.5729952393</v>
      </c>
      <c r="H19" s="45" t="n">
        <f aca="false">H17</f>
        <v>42593.9561343823</v>
      </c>
      <c r="I19" s="45" t="n">
        <f aca="false">I17</f>
        <v>50260.8682385712</v>
      </c>
      <c r="J19" s="45" t="n">
        <f aca="false">J17</f>
        <v>59307.824521514</v>
      </c>
      <c r="K19" s="45" t="n">
        <f aca="false">K17</f>
        <v>69983.2329353865</v>
      </c>
      <c r="L19" s="45" t="n">
        <f aca="false">L17</f>
        <v>82580.214863756</v>
      </c>
      <c r="M19" s="45" t="n">
        <f aca="false">M17</f>
        <v>97444.6535392321</v>
      </c>
      <c r="N19" s="45" t="n">
        <f aca="false">N17</f>
        <v>114984.691176294</v>
      </c>
      <c r="O19" s="45" t="n">
        <f aca="false">SUM(C19:N19)</f>
        <v>650354.026699847</v>
      </c>
    </row>
    <row r="20" customFormat="false" ht="15" hidden="false" customHeight="false" outlineLevel="0" collapsed="false">
      <c r="A20" s="49" t="s">
        <v>129</v>
      </c>
      <c r="C20" s="50" t="n">
        <f aca="false">C19*1400</f>
        <v>26065495.0948762</v>
      </c>
      <c r="D20" s="50" t="n">
        <f aca="false">D19*1400</f>
        <v>30757284.2119539</v>
      </c>
      <c r="E20" s="50" t="n">
        <f aca="false">E19*1400</f>
        <v>36293595.3701056</v>
      </c>
      <c r="F20" s="50" t="n">
        <f aca="false">F19*1400</f>
        <v>42826442.5367246</v>
      </c>
      <c r="G20" s="50" t="n">
        <f aca="false">G19*1400</f>
        <v>50535202.193335</v>
      </c>
      <c r="H20" s="50" t="n">
        <f aca="false">H19*1400</f>
        <v>59631538.5881353</v>
      </c>
      <c r="I20" s="50" t="n">
        <f aca="false">I19*1400</f>
        <v>70365215.5339996</v>
      </c>
      <c r="J20" s="50" t="n">
        <f aca="false">J19*1400</f>
        <v>83030954.3301196</v>
      </c>
      <c r="K20" s="50" t="n">
        <f aca="false">K19*1400</f>
        <v>97976526.1095411</v>
      </c>
      <c r="L20" s="50" t="n">
        <f aca="false">L19*1400</f>
        <v>115612300.809258</v>
      </c>
      <c r="M20" s="50" t="n">
        <f aca="false">M19*1400</f>
        <v>136422514.954925</v>
      </c>
      <c r="N20" s="50" t="n">
        <f aca="false">N19*1400</f>
        <v>160978567.646811</v>
      </c>
      <c r="O20" s="50" t="n">
        <f aca="false">N20*1400</f>
        <v>225369994705.536</v>
      </c>
    </row>
    <row r="22" customFormat="false" ht="19.5" hidden="false" customHeight="true" outlineLevel="0" collapsed="false">
      <c r="A22" s="51" t="s">
        <v>130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customFormat="false" ht="15" hidden="false" customHeight="false" outlineLevel="0" collapsed="false">
      <c r="A23" s="4" t="s">
        <v>15</v>
      </c>
      <c r="B23" s="52" t="s">
        <v>100</v>
      </c>
      <c r="C23" s="52" t="s">
        <v>101</v>
      </c>
      <c r="D23" s="52" t="s">
        <v>102</v>
      </c>
      <c r="E23" s="52" t="s">
        <v>103</v>
      </c>
      <c r="F23" s="52" t="s">
        <v>104</v>
      </c>
      <c r="G23" s="52" t="s">
        <v>105</v>
      </c>
      <c r="H23" s="52" t="s">
        <v>106</v>
      </c>
      <c r="I23" s="52" t="s">
        <v>107</v>
      </c>
      <c r="J23" s="52" t="s">
        <v>108</v>
      </c>
      <c r="K23" s="52" t="s">
        <v>109</v>
      </c>
      <c r="L23" s="52" t="s">
        <v>110</v>
      </c>
      <c r="M23" s="52" t="s">
        <v>111</v>
      </c>
      <c r="N23" s="52" t="s">
        <v>112</v>
      </c>
      <c r="O23" s="52" t="s">
        <v>113</v>
      </c>
    </row>
    <row r="24" customFormat="false" ht="15" hidden="false" customHeight="false" outlineLevel="0" collapsed="false">
      <c r="A24" s="11" t="s">
        <v>114</v>
      </c>
      <c r="B24" s="15" t="s">
        <v>115</v>
      </c>
      <c r="C24" s="40" t="n">
        <f aca="false">가정값!C32</f>
        <v>1200</v>
      </c>
      <c r="D24" s="40" t="n">
        <f aca="false">가정값!C32*(1+가정값!C37)^1</f>
        <v>1380</v>
      </c>
      <c r="E24" s="40" t="n">
        <f aca="false">가정값!C32*(1+가정값!C37)^2</f>
        <v>1587</v>
      </c>
      <c r="F24" s="40" t="n">
        <f aca="false">가정값!C32*(1+가정값!C37)^3</f>
        <v>1825.05</v>
      </c>
      <c r="G24" s="40" t="n">
        <f aca="false">가정값!C32*(1+가정값!C37)^4</f>
        <v>2098.8075</v>
      </c>
      <c r="H24" s="40" t="n">
        <f aca="false">가정값!C32*(1+가정값!C37)^5</f>
        <v>2413.628625</v>
      </c>
      <c r="I24" s="40" t="n">
        <f aca="false">가정값!C32*(1+가정값!C37)^6</f>
        <v>2775.67291875</v>
      </c>
      <c r="J24" s="40" t="n">
        <f aca="false">가정값!C32*(1+가정값!C37)^7</f>
        <v>3192.0238565625</v>
      </c>
      <c r="K24" s="40" t="n">
        <f aca="false">가정값!C32*(1+가정값!C37)^8</f>
        <v>3670.82743504687</v>
      </c>
      <c r="L24" s="40" t="n">
        <f aca="false">가정값!C32*(1+가정값!C37)^9</f>
        <v>4221.4515503039</v>
      </c>
      <c r="M24" s="40" t="n">
        <f aca="false">가정값!C32*(1+가정값!C37)^10</f>
        <v>4854.66928284949</v>
      </c>
      <c r="N24" s="40" t="n">
        <f aca="false">가정값!C32*(1+가정값!C37)^11</f>
        <v>5582.86967527691</v>
      </c>
      <c r="O24" s="40" t="n">
        <f aca="false">SUM(C24:N24)</f>
        <v>34802.0008437897</v>
      </c>
    </row>
    <row r="25" customFormat="false" ht="15" hidden="false" customHeight="false" outlineLevel="0" collapsed="false">
      <c r="A25" s="11" t="s">
        <v>116</v>
      </c>
      <c r="B25" s="15" t="s">
        <v>115</v>
      </c>
      <c r="C25" s="40" t="n">
        <f aca="false">C24*가정값!C33</f>
        <v>696</v>
      </c>
      <c r="D25" s="40" t="n">
        <f aca="false">D24*가정값!C33</f>
        <v>800.4</v>
      </c>
      <c r="E25" s="40" t="n">
        <f aca="false">E24*가정값!C33</f>
        <v>920.46</v>
      </c>
      <c r="F25" s="40" t="n">
        <f aca="false">F24*가정값!C33</f>
        <v>1058.529</v>
      </c>
      <c r="G25" s="40" t="n">
        <f aca="false">G24*가정값!C33</f>
        <v>1217.30835</v>
      </c>
      <c r="H25" s="40" t="n">
        <f aca="false">H24*가정값!C33</f>
        <v>1399.9046025</v>
      </c>
      <c r="I25" s="40" t="n">
        <f aca="false">I24*가정값!C33</f>
        <v>1609.890292875</v>
      </c>
      <c r="J25" s="40" t="n">
        <f aca="false">J24*가정값!C33</f>
        <v>1851.37383680625</v>
      </c>
      <c r="K25" s="40" t="n">
        <f aca="false">K24*가정값!C33</f>
        <v>2129.07991232719</v>
      </c>
      <c r="L25" s="40" t="n">
        <f aca="false">L24*가정값!C33</f>
        <v>2448.44189917626</v>
      </c>
      <c r="M25" s="40" t="n">
        <f aca="false">M24*가정값!C33</f>
        <v>2815.7081840527</v>
      </c>
      <c r="N25" s="40" t="n">
        <f aca="false">N24*가정값!C33</f>
        <v>3238.06441166061</v>
      </c>
      <c r="O25" s="40" t="n">
        <f aca="false">SUM(C25:N25)</f>
        <v>20185.160489398</v>
      </c>
    </row>
    <row r="26" customFormat="false" ht="15" hidden="false" customHeight="false" outlineLevel="0" collapsed="false">
      <c r="A26" s="5" t="s">
        <v>117</v>
      </c>
      <c r="B26" s="15" t="s">
        <v>115</v>
      </c>
      <c r="C26" s="40" t="n">
        <f aca="false">C25*가정값!C34*8</f>
        <v>389.76</v>
      </c>
      <c r="D26" s="40" t="n">
        <f aca="false">D25*가정값!C34*8</f>
        <v>448.224</v>
      </c>
      <c r="E26" s="40" t="n">
        <f aca="false">E25*가정값!C34*8</f>
        <v>515.4576</v>
      </c>
      <c r="F26" s="40" t="n">
        <f aca="false">F25*가정값!C34*8</f>
        <v>592.77624</v>
      </c>
      <c r="G26" s="40" t="n">
        <f aca="false">G25*가정값!C34*8</f>
        <v>681.692676</v>
      </c>
      <c r="H26" s="40" t="n">
        <f aca="false">H25*가정값!C34*8</f>
        <v>783.9465774</v>
      </c>
      <c r="I26" s="40" t="n">
        <f aca="false">I25*가정값!C34*8</f>
        <v>901.53856401</v>
      </c>
      <c r="J26" s="40" t="n">
        <f aca="false">J25*가정값!C34*8</f>
        <v>1036.7693486115</v>
      </c>
      <c r="K26" s="40" t="n">
        <f aca="false">K25*가정값!C34*8</f>
        <v>1192.28475090322</v>
      </c>
      <c r="L26" s="40" t="n">
        <f aca="false">L25*가정값!C34*8</f>
        <v>1371.12746353871</v>
      </c>
      <c r="M26" s="40" t="n">
        <f aca="false">M25*가정값!C34*8</f>
        <v>1576.79658306951</v>
      </c>
      <c r="N26" s="40" t="n">
        <f aca="false">N25*가정값!C34*8</f>
        <v>1813.31607052994</v>
      </c>
      <c r="O26" s="40" t="n">
        <f aca="false">SUM(C26:N26)</f>
        <v>11303.6898740629</v>
      </c>
    </row>
    <row r="27" customFormat="false" ht="15" hidden="false" customHeight="false" outlineLevel="0" collapsed="false">
      <c r="A27" s="5" t="s">
        <v>118</v>
      </c>
      <c r="B27" s="15" t="s">
        <v>115</v>
      </c>
      <c r="C27" s="40" t="n">
        <f aca="false">C26*가정값!C35</f>
        <v>136.416</v>
      </c>
      <c r="D27" s="40" t="n">
        <f aca="false">D26*가정값!C35</f>
        <v>156.8784</v>
      </c>
      <c r="E27" s="40" t="n">
        <f aca="false">E26*가정값!C35</f>
        <v>180.41016</v>
      </c>
      <c r="F27" s="40" t="n">
        <f aca="false">F26*가정값!C35</f>
        <v>207.471684</v>
      </c>
      <c r="G27" s="40" t="n">
        <f aca="false">G26*가정값!C35</f>
        <v>238.5924366</v>
      </c>
      <c r="H27" s="40" t="n">
        <f aca="false">H26*가정값!C35</f>
        <v>274.38130209</v>
      </c>
      <c r="I27" s="40" t="n">
        <f aca="false">I26*가정값!C35</f>
        <v>315.5384974035</v>
      </c>
      <c r="J27" s="40" t="n">
        <f aca="false">J26*가정값!C35</f>
        <v>362.869272014025</v>
      </c>
      <c r="K27" s="40" t="n">
        <f aca="false">K26*가정값!C35</f>
        <v>417.299662816128</v>
      </c>
      <c r="L27" s="40" t="n">
        <f aca="false">L26*가정값!C35</f>
        <v>479.894612238548</v>
      </c>
      <c r="M27" s="40" t="n">
        <f aca="false">M26*가정값!C35</f>
        <v>551.87880407433</v>
      </c>
      <c r="N27" s="40" t="n">
        <f aca="false">N26*가정값!C35</f>
        <v>634.660624685479</v>
      </c>
      <c r="O27" s="40" t="n">
        <f aca="false">SUM(C27:N27)</f>
        <v>3956.29145592201</v>
      </c>
    </row>
    <row r="28" customFormat="false" ht="15" hidden="false" customHeight="false" outlineLevel="0" collapsed="false">
      <c r="A28" s="5" t="s">
        <v>119</v>
      </c>
      <c r="B28" s="15" t="s">
        <v>115</v>
      </c>
      <c r="C28" s="40" t="n">
        <f aca="false">C27*가정값!C36</f>
        <v>27.2832</v>
      </c>
      <c r="D28" s="40" t="n">
        <f aca="false">D27*가정값!C36</f>
        <v>31.37568</v>
      </c>
      <c r="E28" s="40" t="n">
        <f aca="false">E27*가정값!C36</f>
        <v>36.082032</v>
      </c>
      <c r="F28" s="40" t="n">
        <f aca="false">F27*가정값!C36</f>
        <v>41.4943368</v>
      </c>
      <c r="G28" s="40" t="n">
        <f aca="false">G27*가정값!C36</f>
        <v>47.71848732</v>
      </c>
      <c r="H28" s="40" t="n">
        <f aca="false">H27*가정값!C36</f>
        <v>54.876260418</v>
      </c>
      <c r="I28" s="40" t="n">
        <f aca="false">I27*가정값!C36</f>
        <v>63.1076994807</v>
      </c>
      <c r="J28" s="40" t="n">
        <f aca="false">J27*가정값!C36</f>
        <v>72.573854402805</v>
      </c>
      <c r="K28" s="40" t="n">
        <f aca="false">K27*가정값!C36</f>
        <v>83.4599325632257</v>
      </c>
      <c r="L28" s="40" t="n">
        <f aca="false">L27*가정값!C36</f>
        <v>95.9789224477096</v>
      </c>
      <c r="M28" s="40" t="n">
        <f aca="false">M27*가정값!C36</f>
        <v>110.375760814866</v>
      </c>
      <c r="N28" s="40" t="n">
        <f aca="false">N27*가정값!C36</f>
        <v>126.932124937096</v>
      </c>
      <c r="O28" s="40" t="n">
        <f aca="false">SUM(C28:N28)</f>
        <v>791.258291184402</v>
      </c>
    </row>
    <row r="29" customFormat="false" ht="15" hidden="false" customHeight="false" outlineLevel="0" collapsed="false">
      <c r="A29" s="5" t="s">
        <v>120</v>
      </c>
      <c r="B29" s="41"/>
      <c r="C29" s="42" t="n">
        <f aca="false">C26*가정값!$B$6</f>
        <v>5846.4</v>
      </c>
      <c r="D29" s="42" t="n">
        <f aca="false">D26*가정값!$B$6</f>
        <v>6723.36</v>
      </c>
      <c r="E29" s="42" t="n">
        <f aca="false">E26*가정값!$B$6</f>
        <v>7731.864</v>
      </c>
      <c r="F29" s="42" t="n">
        <f aca="false">F26*가정값!$B$6</f>
        <v>8891.6436</v>
      </c>
      <c r="G29" s="42" t="n">
        <f aca="false">G26*가정값!$B$6</f>
        <v>10225.39014</v>
      </c>
      <c r="H29" s="42" t="n">
        <f aca="false">H26*가정값!$B$6</f>
        <v>11759.198661</v>
      </c>
      <c r="I29" s="42" t="n">
        <f aca="false">I26*가정값!$B$6</f>
        <v>13523.07846015</v>
      </c>
      <c r="J29" s="42" t="n">
        <f aca="false">J26*가정값!$B$6</f>
        <v>15551.5402291725</v>
      </c>
      <c r="K29" s="42" t="n">
        <f aca="false">K26*가정값!$B$6</f>
        <v>17884.2712635484</v>
      </c>
      <c r="L29" s="42" t="n">
        <f aca="false">L26*가정값!$B$6</f>
        <v>20566.9119530806</v>
      </c>
      <c r="M29" s="42" t="n">
        <f aca="false">M26*가정값!$B$6</f>
        <v>23651.9487460427</v>
      </c>
      <c r="N29" s="42" t="n">
        <f aca="false">N26*가정값!$B$6</f>
        <v>27199.7410579491</v>
      </c>
      <c r="O29" s="42" t="n">
        <f aca="false">SUM(C29:N29)</f>
        <v>169555.348110943</v>
      </c>
    </row>
    <row r="30" customFormat="false" ht="15" hidden="false" customHeight="false" outlineLevel="0" collapsed="false">
      <c r="A30" s="5" t="s">
        <v>121</v>
      </c>
      <c r="B30" s="41"/>
      <c r="C30" s="42" t="n">
        <f aca="false">C27*가정값!$B$7</f>
        <v>3683.232</v>
      </c>
      <c r="D30" s="42" t="n">
        <f aca="false">D27*가정값!$B$7</f>
        <v>4235.7168</v>
      </c>
      <c r="E30" s="42" t="n">
        <f aca="false">E27*가정값!$B$7</f>
        <v>4871.07432</v>
      </c>
      <c r="F30" s="42" t="n">
        <f aca="false">F27*가정값!$B$7</f>
        <v>5601.735468</v>
      </c>
      <c r="G30" s="42" t="n">
        <f aca="false">G27*가정값!$B$7</f>
        <v>6441.9957882</v>
      </c>
      <c r="H30" s="42" t="n">
        <f aca="false">H27*가정값!$B$7</f>
        <v>7408.29515643</v>
      </c>
      <c r="I30" s="42" t="n">
        <f aca="false">I27*가정값!$B$7</f>
        <v>8519.5394298945</v>
      </c>
      <c r="J30" s="42" t="n">
        <f aca="false">J27*가정값!$B$7</f>
        <v>9797.47034437867</v>
      </c>
      <c r="K30" s="42" t="n">
        <f aca="false">K27*가정값!$B$7</f>
        <v>11267.0908960355</v>
      </c>
      <c r="L30" s="42" t="n">
        <f aca="false">L27*가정값!$B$7</f>
        <v>12957.1545304408</v>
      </c>
      <c r="M30" s="42" t="n">
        <f aca="false">M27*가정값!$B$7</f>
        <v>14900.7277100069</v>
      </c>
      <c r="N30" s="42" t="n">
        <f aca="false">N27*가정값!$B$7</f>
        <v>17135.8368665079</v>
      </c>
      <c r="O30" s="42" t="n">
        <f aca="false">SUM(C30:N30)</f>
        <v>106819.869309894</v>
      </c>
    </row>
    <row r="31" customFormat="false" ht="15" hidden="false" customHeight="false" outlineLevel="0" collapsed="false">
      <c r="A31" s="5" t="s">
        <v>122</v>
      </c>
      <c r="B31" s="41"/>
      <c r="C31" s="42" t="n">
        <f aca="false">C28*가정값!$B$8</f>
        <v>927.6288</v>
      </c>
      <c r="D31" s="42" t="n">
        <f aca="false">D28*가정값!$B$8</f>
        <v>1066.77312</v>
      </c>
      <c r="E31" s="42" t="n">
        <f aca="false">E28*가정값!$B$8</f>
        <v>1226.789088</v>
      </c>
      <c r="F31" s="42" t="n">
        <f aca="false">F28*가정값!$B$8</f>
        <v>1410.8074512</v>
      </c>
      <c r="G31" s="42" t="n">
        <f aca="false">G28*가정값!$B$8</f>
        <v>1622.42856888</v>
      </c>
      <c r="H31" s="42" t="n">
        <f aca="false">H28*가정값!$B$8</f>
        <v>1865.792854212</v>
      </c>
      <c r="I31" s="42" t="n">
        <f aca="false">I28*가정값!$B$8</f>
        <v>2145.6617823438</v>
      </c>
      <c r="J31" s="42" t="n">
        <f aca="false">J28*가정값!$B$8</f>
        <v>2467.51104969537</v>
      </c>
      <c r="K31" s="42" t="n">
        <f aca="false">K28*가정값!$B$8</f>
        <v>2837.63770714967</v>
      </c>
      <c r="L31" s="42" t="n">
        <f aca="false">L28*가정값!$B$8</f>
        <v>3263.28336322213</v>
      </c>
      <c r="M31" s="42" t="n">
        <f aca="false">M28*가정값!$B$8</f>
        <v>3752.77586770544</v>
      </c>
      <c r="N31" s="42" t="n">
        <f aca="false">N28*가정값!$B$8</f>
        <v>4315.69224786126</v>
      </c>
      <c r="O31" s="42" t="n">
        <f aca="false">SUM(C31:N31)</f>
        <v>26902.7819002697</v>
      </c>
    </row>
    <row r="32" customFormat="false" ht="15" hidden="false" customHeight="false" outlineLevel="0" collapsed="false">
      <c r="A32" s="43" t="s">
        <v>123</v>
      </c>
      <c r="B32" s="44"/>
      <c r="C32" s="45" t="n">
        <f aca="false">C29+C30+C31</f>
        <v>10457.2608</v>
      </c>
      <c r="D32" s="45" t="n">
        <f aca="false">D29+D30+D31</f>
        <v>12025.84992</v>
      </c>
      <c r="E32" s="45" t="n">
        <f aca="false">E29+E30+E31</f>
        <v>13829.727408</v>
      </c>
      <c r="F32" s="45" t="n">
        <f aca="false">F29+F30+F31</f>
        <v>15904.1865192</v>
      </c>
      <c r="G32" s="45" t="n">
        <f aca="false">G29+G30+G31</f>
        <v>18289.81449708</v>
      </c>
      <c r="H32" s="45" t="n">
        <f aca="false">H29+H30+H31</f>
        <v>21033.286671642</v>
      </c>
      <c r="I32" s="45" t="n">
        <f aca="false">I29+I30+I31</f>
        <v>24188.2796723883</v>
      </c>
      <c r="J32" s="45" t="n">
        <f aca="false">J29+J30+J31</f>
        <v>27816.5216232465</v>
      </c>
      <c r="K32" s="45" t="n">
        <f aca="false">K29+K30+K31</f>
        <v>31988.9998667335</v>
      </c>
      <c r="L32" s="45" t="n">
        <f aca="false">L29+L30+L31</f>
        <v>36787.3498467435</v>
      </c>
      <c r="M32" s="45" t="n">
        <f aca="false">M29+M30+M31</f>
        <v>42305.4523237551</v>
      </c>
      <c r="N32" s="45" t="n">
        <f aca="false">N29+N30+N31</f>
        <v>48651.2701723183</v>
      </c>
      <c r="O32" s="45" t="n">
        <f aca="false">SUM(C32:N32)</f>
        <v>303277.999321107</v>
      </c>
    </row>
    <row r="33" customFormat="false" ht="15" hidden="false" customHeight="false" outlineLevel="0" collapsed="false">
      <c r="A33" s="11" t="s">
        <v>124</v>
      </c>
      <c r="B33" s="41"/>
      <c r="C33" s="42" t="n">
        <f aca="false">-(C29*가정값!$B$13+C30*가정값!$B$14+C27*가정값!$B$16+C31*가정값!$B$15+C28*가정값!$B$16)</f>
        <v>-1707.6048192</v>
      </c>
      <c r="D33" s="42" t="n">
        <f aca="false">-(D29*가정값!$B$13+D30*가정값!$B$14+D27*가정값!$B$16+D31*가정값!$B$15+D28*가정값!$B$16)</f>
        <v>-1963.74554208</v>
      </c>
      <c r="E33" s="42" t="n">
        <f aca="false">-(E29*가정값!$B$13+E30*가정값!$B$14+E27*가정값!$B$16+E31*가정값!$B$15+E28*가정값!$B$16)</f>
        <v>-2258.307373392</v>
      </c>
      <c r="F33" s="42" t="n">
        <f aca="false">-(F29*가정값!$B$13+F30*가정값!$B$14+F27*가정값!$B$16+F31*가정값!$B$15+F28*가정값!$B$16)</f>
        <v>-2597.0534794008</v>
      </c>
      <c r="G33" s="42" t="n">
        <f aca="false">-(G29*가정값!$B$13+G30*가정값!$B$14+G27*가정값!$B$16+G31*가정값!$B$15+G28*가정값!$B$16)</f>
        <v>-2986.61150131092</v>
      </c>
      <c r="H33" s="42" t="n">
        <f aca="false">-(H29*가정값!$B$13+H30*가정값!$B$14+H27*가정값!$B$16+H31*가정값!$B$15+H28*가정값!$B$16)</f>
        <v>-3434.60322650756</v>
      </c>
      <c r="I33" s="42" t="n">
        <f aca="false">-(I29*가정값!$B$13+I30*가정값!$B$14+I27*가정값!$B$16+I31*가정값!$B$15+I28*가정값!$B$16)</f>
        <v>-3949.79371048369</v>
      </c>
      <c r="J33" s="42" t="n">
        <f aca="false">-(J29*가정값!$B$13+J30*가정값!$B$14+J27*가정값!$B$16+J31*가정값!$B$15+J28*가정값!$B$16)</f>
        <v>-4542.26276705624</v>
      </c>
      <c r="K33" s="42" t="n">
        <f aca="false">-(K29*가정값!$B$13+K30*가정값!$B$14+K27*가정값!$B$16+K31*가정값!$B$15+K28*가정값!$B$16)</f>
        <v>-5223.60218211468</v>
      </c>
      <c r="L33" s="42" t="n">
        <f aca="false">-(L29*가정값!$B$13+L30*가정값!$B$14+L27*가정값!$B$16+L31*가정값!$B$15+L28*가정값!$B$16)</f>
        <v>-6007.14250943188</v>
      </c>
      <c r="M33" s="42" t="n">
        <f aca="false">-(M29*가정값!$B$13+M30*가정값!$B$14+M27*가정값!$B$16+M31*가정값!$B$15+M28*가정값!$B$16)</f>
        <v>-6908.21388584666</v>
      </c>
      <c r="N33" s="42" t="n">
        <f aca="false">-(N29*가정값!$B$13+N30*가정값!$B$14+N27*가정값!$B$16+N31*가정값!$B$15+N28*가정값!$B$16)</f>
        <v>-7944.44596872366</v>
      </c>
      <c r="O33" s="42" t="n">
        <f aca="false">SUM(C33:N33)</f>
        <v>-49523.3869655481</v>
      </c>
    </row>
    <row r="34" customFormat="false" ht="15" hidden="false" customHeight="false" outlineLevel="0" collapsed="false">
      <c r="A34" s="11" t="s">
        <v>125</v>
      </c>
      <c r="B34" s="41"/>
      <c r="C34" s="42" t="n">
        <f aca="false">-(C29*(1-가정값!$B$13)*가정값!$B$20*가정값!$B$26+(C30*(1-가정값!$B$14)-C27*가정값!$B$16)*가정값!$B$21*가정값!$B$27+(C31*(1-가정값!$B$15)-C28*가정값!$B$16)*가정값!$B$22*가정값!$B$28)</f>
        <v>-3090.875122272</v>
      </c>
      <c r="D34" s="42" t="n">
        <f aca="false">-(D29*(1-가정값!$B$13)*가정값!$B$20*가정값!$B$26+(D30*(1-가정값!$B$14)-D27*가정값!$B$16)*가정값!$B$21*가정값!$B$27+(D31*(1-가정값!$B$15)-D28*가정값!$B$16)*가정값!$B$22*가정값!$B$28)</f>
        <v>-3554.5063906128</v>
      </c>
      <c r="E34" s="42" t="n">
        <f aca="false">-(E29*(1-가정값!$B$13)*가정값!$B$20*가정값!$B$26+(E30*(1-가정값!$B$14)-E27*가정값!$B$16)*가정값!$B$21*가정값!$B$27+(E31*(1-가정값!$B$15)-E28*가정값!$B$16)*가정값!$B$22*가정값!$B$28)</f>
        <v>-4087.68234920472</v>
      </c>
      <c r="F34" s="42" t="n">
        <f aca="false">-(F29*(1-가정값!$B$13)*가정값!$B$20*가정값!$B$26+(F30*(1-가정값!$B$14)-F27*가정값!$B$16)*가정값!$B$21*가정값!$B$27+(F31*(1-가정값!$B$15)-F28*가정값!$B$16)*가정값!$B$22*가정값!$B$28)</f>
        <v>-4700.83470158543</v>
      </c>
      <c r="G34" s="42" t="n">
        <f aca="false">-(G29*(1-가정값!$B$13)*가정값!$B$20*가정값!$B$26+(G30*(1-가정값!$B$14)-G27*가정값!$B$16)*가정값!$B$21*가정값!$B$27+(G31*(1-가정값!$B$15)-G28*가정값!$B$16)*가정값!$B$22*가정값!$B$28)</f>
        <v>-5405.95990682324</v>
      </c>
      <c r="H34" s="42" t="n">
        <f aca="false">-(H29*(1-가정값!$B$13)*가정값!$B$20*가정값!$B$26+(H30*(1-가정값!$B$14)-H27*가정값!$B$16)*가정값!$B$21*가정값!$B$27+(H31*(1-가정값!$B$15)-H28*가정값!$B$16)*가정값!$B$22*가정값!$B$28)</f>
        <v>-6216.85389284673</v>
      </c>
      <c r="I34" s="42" t="n">
        <f aca="false">-(I29*(1-가정값!$B$13)*가정값!$B$20*가정값!$B$26+(I30*(1-가정값!$B$14)-I27*가정값!$B$16)*가정값!$B$21*가정값!$B$27+(I31*(1-가정값!$B$15)-I28*가정값!$B$16)*가정값!$B$22*가정값!$B$28)</f>
        <v>-7149.38197677374</v>
      </c>
      <c r="J34" s="42" t="n">
        <f aca="false">-(J29*(1-가정값!$B$13)*가정값!$B$20*가정값!$B$26+(J30*(1-가정값!$B$14)-J27*가정값!$B$16)*가정값!$B$21*가정값!$B$27+(J31*(1-가정값!$B$15)-J28*가정값!$B$16)*가정값!$B$22*가정값!$B$28)</f>
        <v>-8221.78927328979</v>
      </c>
      <c r="K34" s="42" t="n">
        <f aca="false">-(K29*(1-가정값!$B$13)*가정값!$B$20*가정값!$B$26+(K30*(1-가정값!$B$14)-K27*가정값!$B$16)*가정값!$B$21*가정값!$B$27+(K31*(1-가정값!$B$15)-K28*가정값!$B$16)*가정값!$B$22*가정값!$B$28)</f>
        <v>-9455.05766428326</v>
      </c>
      <c r="L34" s="42" t="n">
        <f aca="false">-(L29*(1-가정값!$B$13)*가정값!$B$20*가정값!$B$26+(L30*(1-가정값!$B$14)-L27*가정값!$B$16)*가정값!$B$21*가정값!$B$27+(L31*(1-가정값!$B$15)-L28*가정값!$B$16)*가정값!$B$22*가정값!$B$28)</f>
        <v>-10873.3163139258</v>
      </c>
      <c r="M34" s="42" t="n">
        <f aca="false">-(M29*(1-가정값!$B$13)*가정값!$B$20*가정값!$B$26+(M30*(1-가정값!$B$14)-M27*가정값!$B$16)*가정값!$B$21*가정값!$B$27+(M31*(1-가정값!$B$15)-M28*가정값!$B$16)*가정값!$B$22*가정값!$B$28)</f>
        <v>-12504.3137610146</v>
      </c>
      <c r="N34" s="42" t="n">
        <f aca="false">-(N29*(1-가정값!$B$13)*가정값!$B$20*가정값!$B$26+(N30*(1-가정값!$B$14)-N27*가정값!$B$16)*가정값!$B$21*가정값!$B$27+(N31*(1-가정값!$B$15)-N28*가정값!$B$16)*가정값!$B$22*가정값!$B$28)</f>
        <v>-14379.9608251668</v>
      </c>
      <c r="O34" s="42" t="n">
        <f aca="false">SUM(C34:N34)</f>
        <v>-89640.5321777989</v>
      </c>
    </row>
    <row r="35" customFormat="false" ht="15" hidden="false" customHeight="false" outlineLevel="0" collapsed="false">
      <c r="A35" s="46" t="s">
        <v>126</v>
      </c>
      <c r="B35" s="47"/>
      <c r="C35" s="48" t="n">
        <f aca="false">C32+C33+C34</f>
        <v>5658.780858528</v>
      </c>
      <c r="D35" s="48" t="n">
        <f aca="false">D32+D33+D34</f>
        <v>6507.5979873072</v>
      </c>
      <c r="E35" s="48" t="n">
        <f aca="false">E32+E33+E34</f>
        <v>7483.73768540328</v>
      </c>
      <c r="F35" s="48" t="n">
        <f aca="false">F32+F33+F34</f>
        <v>8606.29833821377</v>
      </c>
      <c r="G35" s="48" t="n">
        <f aca="false">G32+G33+G34</f>
        <v>9897.24308894584</v>
      </c>
      <c r="H35" s="48" t="n">
        <f aca="false">H32+H33+H34</f>
        <v>11381.8295522877</v>
      </c>
      <c r="I35" s="48" t="n">
        <f aca="false">I32+I33+I34</f>
        <v>13089.1039851309</v>
      </c>
      <c r="J35" s="48" t="n">
        <f aca="false">J32+J33+J34</f>
        <v>15052.4695829005</v>
      </c>
      <c r="K35" s="48" t="n">
        <f aca="false">K32+K33+K34</f>
        <v>17310.3400203356</v>
      </c>
      <c r="L35" s="48" t="n">
        <f aca="false">L32+L33+L34</f>
        <v>19906.8910233859</v>
      </c>
      <c r="M35" s="48" t="n">
        <f aca="false">M32+M33+M34</f>
        <v>22892.9246768938</v>
      </c>
      <c r="N35" s="48" t="n">
        <f aca="false">N32+N33+N34</f>
        <v>26326.8633784279</v>
      </c>
      <c r="O35" s="48" t="n">
        <f aca="false">SUM(C35:N35)</f>
        <v>164114.08017776</v>
      </c>
    </row>
    <row r="36" customFormat="false" ht="15" hidden="false" customHeight="false" outlineLevel="0" collapsed="false">
      <c r="A36" s="46" t="s">
        <v>127</v>
      </c>
      <c r="B36" s="47"/>
      <c r="C36" s="48" t="n">
        <f aca="false">C35</f>
        <v>5658.780858528</v>
      </c>
      <c r="D36" s="48" t="n">
        <f aca="false">C36+D35</f>
        <v>12166.3788458352</v>
      </c>
      <c r="E36" s="48" t="n">
        <f aca="false">D36+E35</f>
        <v>19650.1165312385</v>
      </c>
      <c r="F36" s="48" t="n">
        <f aca="false">E36+F35</f>
        <v>28256.4148694523</v>
      </c>
      <c r="G36" s="48" t="n">
        <f aca="false">F36+G35</f>
        <v>38153.6579583981</v>
      </c>
      <c r="H36" s="48" t="n">
        <f aca="false">G36+H35</f>
        <v>49535.4875106858</v>
      </c>
      <c r="I36" s="48" t="n">
        <f aca="false">H36+I35</f>
        <v>62624.5914958167</v>
      </c>
      <c r="J36" s="48" t="n">
        <f aca="false">I36+J35</f>
        <v>77677.0610787172</v>
      </c>
      <c r="K36" s="48" t="n">
        <f aca="false">J36+K35</f>
        <v>94987.4010990527</v>
      </c>
      <c r="L36" s="48" t="n">
        <f aca="false">K36+L35</f>
        <v>114894.292122439</v>
      </c>
      <c r="M36" s="48" t="n">
        <f aca="false">L36+M35</f>
        <v>137787.216799332</v>
      </c>
      <c r="N36" s="48" t="n">
        <f aca="false">M36+N35</f>
        <v>164114.08017776</v>
      </c>
      <c r="O36" s="48" t="n">
        <f aca="false">N36</f>
        <v>164114.08017776</v>
      </c>
    </row>
    <row r="37" customFormat="false" ht="15" hidden="false" customHeight="false" outlineLevel="0" collapsed="false">
      <c r="A37" s="43" t="s">
        <v>128</v>
      </c>
      <c r="C37" s="45" t="n">
        <f aca="false">C35</f>
        <v>5658.780858528</v>
      </c>
      <c r="D37" s="45" t="n">
        <f aca="false">D35</f>
        <v>6507.5979873072</v>
      </c>
      <c r="E37" s="45" t="n">
        <f aca="false">E35</f>
        <v>7483.73768540328</v>
      </c>
      <c r="F37" s="45" t="n">
        <f aca="false">F35</f>
        <v>8606.29833821377</v>
      </c>
      <c r="G37" s="45" t="n">
        <f aca="false">G35</f>
        <v>9897.24308894584</v>
      </c>
      <c r="H37" s="45" t="n">
        <f aca="false">H35</f>
        <v>11381.8295522877</v>
      </c>
      <c r="I37" s="45" t="n">
        <f aca="false">I35</f>
        <v>13089.1039851309</v>
      </c>
      <c r="J37" s="45" t="n">
        <f aca="false">J35</f>
        <v>15052.4695829005</v>
      </c>
      <c r="K37" s="45" t="n">
        <f aca="false">K35</f>
        <v>17310.3400203356</v>
      </c>
      <c r="L37" s="45" t="n">
        <f aca="false">L35</f>
        <v>19906.8910233859</v>
      </c>
      <c r="M37" s="45" t="n">
        <f aca="false">M35</f>
        <v>22892.9246768938</v>
      </c>
      <c r="N37" s="45" t="n">
        <f aca="false">N35</f>
        <v>26326.8633784279</v>
      </c>
      <c r="O37" s="45" t="n">
        <f aca="false">SUM(C37:N37)</f>
        <v>164114.08017776</v>
      </c>
    </row>
    <row r="38" customFormat="false" ht="15" hidden="false" customHeight="false" outlineLevel="0" collapsed="false">
      <c r="A38" s="49" t="s">
        <v>129</v>
      </c>
      <c r="C38" s="50" t="n">
        <f aca="false">C37*1400</f>
        <v>7922293.2019392</v>
      </c>
      <c r="D38" s="50" t="n">
        <f aca="false">D37*1400</f>
        <v>9110637.18223008</v>
      </c>
      <c r="E38" s="50" t="n">
        <f aca="false">E37*1400</f>
        <v>10477232.7595646</v>
      </c>
      <c r="F38" s="50" t="n">
        <f aca="false">F37*1400</f>
        <v>12048817.6734993</v>
      </c>
      <c r="G38" s="50" t="n">
        <f aca="false">G37*1400</f>
        <v>13856140.3245242</v>
      </c>
      <c r="H38" s="50" t="n">
        <f aca="false">H37*1400</f>
        <v>15934561.3732028</v>
      </c>
      <c r="I38" s="50" t="n">
        <f aca="false">I37*1400</f>
        <v>18324745.5791832</v>
      </c>
      <c r="J38" s="50" t="n">
        <f aca="false">J37*1400</f>
        <v>21073457.4160607</v>
      </c>
      <c r="K38" s="50" t="n">
        <f aca="false">K37*1400</f>
        <v>24234476.0284698</v>
      </c>
      <c r="L38" s="50" t="n">
        <f aca="false">L37*1400</f>
        <v>27869647.4327403</v>
      </c>
      <c r="M38" s="50" t="n">
        <f aca="false">M37*1400</f>
        <v>32050094.5476513</v>
      </c>
      <c r="N38" s="50" t="n">
        <f aca="false">N37*1400</f>
        <v>36857608.729799</v>
      </c>
      <c r="O38" s="50" t="n">
        <f aca="false">N38*1400</f>
        <v>51600652221.7186</v>
      </c>
    </row>
    <row r="40" customFormat="false" ht="19.5" hidden="false" customHeight="true" outlineLevel="0" collapsed="false">
      <c r="A40" s="53" t="s">
        <v>131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</row>
    <row r="41" customFormat="false" ht="15" hidden="false" customHeight="false" outlineLevel="0" collapsed="false">
      <c r="A41" s="20" t="s">
        <v>15</v>
      </c>
      <c r="B41" s="54" t="s">
        <v>100</v>
      </c>
      <c r="C41" s="54" t="s">
        <v>101</v>
      </c>
      <c r="D41" s="54" t="s">
        <v>102</v>
      </c>
      <c r="E41" s="54" t="s">
        <v>103</v>
      </c>
      <c r="F41" s="54" t="s">
        <v>104</v>
      </c>
      <c r="G41" s="54" t="s">
        <v>105</v>
      </c>
      <c r="H41" s="54" t="s">
        <v>106</v>
      </c>
      <c r="I41" s="54" t="s">
        <v>107</v>
      </c>
      <c r="J41" s="54" t="s">
        <v>108</v>
      </c>
      <c r="K41" s="54" t="s">
        <v>109</v>
      </c>
      <c r="L41" s="54" t="s">
        <v>110</v>
      </c>
      <c r="M41" s="54" t="s">
        <v>111</v>
      </c>
      <c r="N41" s="54" t="s">
        <v>112</v>
      </c>
      <c r="O41" s="54" t="s">
        <v>113</v>
      </c>
    </row>
    <row r="42" customFormat="false" ht="15" hidden="false" customHeight="false" outlineLevel="0" collapsed="false">
      <c r="A42" s="11" t="s">
        <v>114</v>
      </c>
      <c r="B42" s="15" t="s">
        <v>115</v>
      </c>
      <c r="C42" s="40" t="n">
        <f aca="false">가정값!D32</f>
        <v>800</v>
      </c>
      <c r="D42" s="40" t="n">
        <f aca="false">가정값!D32*(1+가정값!D37)^1</f>
        <v>976</v>
      </c>
      <c r="E42" s="40" t="n">
        <f aca="false">가정값!D32*(1+가정값!D37)^2</f>
        <v>1190.72</v>
      </c>
      <c r="F42" s="40" t="n">
        <f aca="false">가정값!D32*(1+가정값!D37)^3</f>
        <v>1452.6784</v>
      </c>
      <c r="G42" s="40" t="n">
        <f aca="false">가정값!D32*(1+가정값!D37)^4</f>
        <v>1772.267648</v>
      </c>
      <c r="H42" s="40" t="n">
        <f aca="false">가정값!D32*(1+가정값!D37)^5</f>
        <v>2162.16653056</v>
      </c>
      <c r="I42" s="40" t="n">
        <f aca="false">가정값!D32*(1+가정값!D37)^6</f>
        <v>2637.8431672832</v>
      </c>
      <c r="J42" s="40" t="n">
        <f aca="false">가정값!D32*(1+가정값!D37)^7</f>
        <v>3218.1686640855</v>
      </c>
      <c r="K42" s="40" t="n">
        <f aca="false">가정값!D32*(1+가정값!D37)^8</f>
        <v>3926.16577018431</v>
      </c>
      <c r="L42" s="40" t="n">
        <f aca="false">가정값!D32*(1+가정값!D37)^9</f>
        <v>4789.92223962486</v>
      </c>
      <c r="M42" s="40" t="n">
        <f aca="false">가정값!D32*(1+가정값!D37)^10</f>
        <v>5843.70513234233</v>
      </c>
      <c r="N42" s="40" t="n">
        <f aca="false">가정값!D32*(1+가정값!D37)^11</f>
        <v>7129.32026145765</v>
      </c>
      <c r="O42" s="40" t="n">
        <f aca="false">SUM(C42:N42)</f>
        <v>35898.9578135379</v>
      </c>
    </row>
    <row r="43" customFormat="false" ht="15" hidden="false" customHeight="false" outlineLevel="0" collapsed="false">
      <c r="A43" s="11" t="s">
        <v>116</v>
      </c>
      <c r="B43" s="15" t="s">
        <v>115</v>
      </c>
      <c r="C43" s="40" t="n">
        <f aca="false">C42*가정값!D33</f>
        <v>520</v>
      </c>
      <c r="D43" s="40" t="n">
        <f aca="false">D42*가정값!D33</f>
        <v>634.4</v>
      </c>
      <c r="E43" s="40" t="n">
        <f aca="false">E42*가정값!D33</f>
        <v>773.968</v>
      </c>
      <c r="F43" s="40" t="n">
        <f aca="false">F42*가정값!D33</f>
        <v>944.24096</v>
      </c>
      <c r="G43" s="40" t="n">
        <f aca="false">G42*가정값!D33</f>
        <v>1151.9739712</v>
      </c>
      <c r="H43" s="40" t="n">
        <f aca="false">H42*가정값!D33</f>
        <v>1405.408244864</v>
      </c>
      <c r="I43" s="40" t="n">
        <f aca="false">I42*가정값!D33</f>
        <v>1714.59805873408</v>
      </c>
      <c r="J43" s="40" t="n">
        <f aca="false">J42*가정값!D33</f>
        <v>2091.80963165558</v>
      </c>
      <c r="K43" s="40" t="n">
        <f aca="false">K42*가정값!D33</f>
        <v>2552.0077506198</v>
      </c>
      <c r="L43" s="40" t="n">
        <f aca="false">L42*가정값!D33</f>
        <v>3113.44945575616</v>
      </c>
      <c r="M43" s="40" t="n">
        <f aca="false">M42*가정값!D33</f>
        <v>3798.40833602252</v>
      </c>
      <c r="N43" s="40" t="n">
        <f aca="false">N42*가정값!D33</f>
        <v>4634.05816994747</v>
      </c>
      <c r="O43" s="40" t="n">
        <f aca="false">SUM(C43:N43)</f>
        <v>23334.3225787996</v>
      </c>
    </row>
    <row r="44" customFormat="false" ht="15" hidden="false" customHeight="false" outlineLevel="0" collapsed="false">
      <c r="A44" s="5" t="s">
        <v>117</v>
      </c>
      <c r="B44" s="15" t="s">
        <v>115</v>
      </c>
      <c r="C44" s="40" t="n">
        <f aca="false">C43*가정값!D34*8</f>
        <v>416</v>
      </c>
      <c r="D44" s="40" t="n">
        <f aca="false">D43*가정값!D34*8</f>
        <v>507.52</v>
      </c>
      <c r="E44" s="40" t="n">
        <f aca="false">E43*가정값!D34*8</f>
        <v>619.1744</v>
      </c>
      <c r="F44" s="40" t="n">
        <f aca="false">F43*가정값!D34*8</f>
        <v>755.392768</v>
      </c>
      <c r="G44" s="40" t="n">
        <f aca="false">G43*가정값!D34*8</f>
        <v>921.57917696</v>
      </c>
      <c r="H44" s="40" t="n">
        <f aca="false">H43*가정값!D34*8</f>
        <v>1124.3265958912</v>
      </c>
      <c r="I44" s="40" t="n">
        <f aca="false">I43*가정값!D34*8</f>
        <v>1371.67844698726</v>
      </c>
      <c r="J44" s="40" t="n">
        <f aca="false">J43*가정값!D34*8</f>
        <v>1673.44770532446</v>
      </c>
      <c r="K44" s="40" t="n">
        <f aca="false">K43*가정값!D34*8</f>
        <v>2041.60620049584</v>
      </c>
      <c r="L44" s="40" t="n">
        <f aca="false">L43*가정값!D34*8</f>
        <v>2490.75956460493</v>
      </c>
      <c r="M44" s="40" t="n">
        <f aca="false">M43*가정값!D34*8</f>
        <v>3038.72666881801</v>
      </c>
      <c r="N44" s="40" t="n">
        <f aca="false">N43*가정값!D34*8</f>
        <v>3707.24653595798</v>
      </c>
      <c r="O44" s="40" t="n">
        <f aca="false">SUM(C44:N44)</f>
        <v>18667.4580630397</v>
      </c>
    </row>
    <row r="45" customFormat="false" ht="15" hidden="false" customHeight="false" outlineLevel="0" collapsed="false">
      <c r="A45" s="5" t="s">
        <v>118</v>
      </c>
      <c r="B45" s="15" t="s">
        <v>115</v>
      </c>
      <c r="C45" s="40" t="n">
        <f aca="false">C44*가정값!D35</f>
        <v>174.72</v>
      </c>
      <c r="D45" s="40" t="n">
        <f aca="false">D44*가정값!D35</f>
        <v>213.1584</v>
      </c>
      <c r="E45" s="40" t="n">
        <f aca="false">E44*가정값!D35</f>
        <v>260.053248</v>
      </c>
      <c r="F45" s="40" t="n">
        <f aca="false">F44*가정값!D35</f>
        <v>317.26496256</v>
      </c>
      <c r="G45" s="40" t="n">
        <f aca="false">G44*가정값!D35</f>
        <v>387.0632543232</v>
      </c>
      <c r="H45" s="40" t="n">
        <f aca="false">H44*가정값!D35</f>
        <v>472.217170274304</v>
      </c>
      <c r="I45" s="40" t="n">
        <f aca="false">I44*가정값!D35</f>
        <v>576.104947734651</v>
      </c>
      <c r="J45" s="40" t="n">
        <f aca="false">J44*가정값!D35</f>
        <v>702.848036236274</v>
      </c>
      <c r="K45" s="40" t="n">
        <f aca="false">K44*가정값!D35</f>
        <v>857.474604208254</v>
      </c>
      <c r="L45" s="40" t="n">
        <f aca="false">L44*가정값!D35</f>
        <v>1046.11901713407</v>
      </c>
      <c r="M45" s="40" t="n">
        <f aca="false">M44*가정값!D35</f>
        <v>1276.26520090357</v>
      </c>
      <c r="N45" s="40" t="n">
        <f aca="false">N44*가정값!D35</f>
        <v>1557.04354510235</v>
      </c>
      <c r="O45" s="40" t="n">
        <f aca="false">SUM(C45:N45)</f>
        <v>7840.33238647667</v>
      </c>
    </row>
    <row r="46" customFormat="false" ht="15" hidden="false" customHeight="false" outlineLevel="0" collapsed="false">
      <c r="A46" s="5" t="s">
        <v>119</v>
      </c>
      <c r="B46" s="15" t="s">
        <v>115</v>
      </c>
      <c r="C46" s="40" t="n">
        <f aca="false">C45*가정값!D36</f>
        <v>48.9216</v>
      </c>
      <c r="D46" s="40" t="n">
        <f aca="false">D45*가정값!D36</f>
        <v>59.684352</v>
      </c>
      <c r="E46" s="40" t="n">
        <f aca="false">E45*가정값!D36</f>
        <v>72.81490944</v>
      </c>
      <c r="F46" s="40" t="n">
        <f aca="false">F45*가정값!D36</f>
        <v>88.8341895168</v>
      </c>
      <c r="G46" s="40" t="n">
        <f aca="false">G45*가정값!D36</f>
        <v>108.377711210496</v>
      </c>
      <c r="H46" s="40" t="n">
        <f aca="false">H45*가정값!D36</f>
        <v>132.220807676805</v>
      </c>
      <c r="I46" s="40" t="n">
        <f aca="false">I45*가정값!D36</f>
        <v>161.309385365702</v>
      </c>
      <c r="J46" s="40" t="n">
        <f aca="false">J45*가정값!D36</f>
        <v>196.797450146157</v>
      </c>
      <c r="K46" s="40" t="n">
        <f aca="false">K45*가정값!D36</f>
        <v>240.092889178311</v>
      </c>
      <c r="L46" s="40" t="n">
        <f aca="false">L45*가정값!D36</f>
        <v>292.91332479754</v>
      </c>
      <c r="M46" s="40" t="n">
        <f aca="false">M45*가정값!D36</f>
        <v>357.354256252998</v>
      </c>
      <c r="N46" s="40" t="n">
        <f aca="false">N45*가정값!D36</f>
        <v>435.972192628658</v>
      </c>
      <c r="O46" s="40" t="n">
        <f aca="false">SUM(C46:N46)</f>
        <v>2195.29306821347</v>
      </c>
    </row>
    <row r="47" customFormat="false" ht="15" hidden="false" customHeight="false" outlineLevel="0" collapsed="false">
      <c r="A47" s="5" t="s">
        <v>120</v>
      </c>
      <c r="B47" s="41"/>
      <c r="C47" s="42" t="n">
        <f aca="false">C44*가정값!$B$6</f>
        <v>6240</v>
      </c>
      <c r="D47" s="42" t="n">
        <f aca="false">D44*가정값!$B$6</f>
        <v>7612.8</v>
      </c>
      <c r="E47" s="42" t="n">
        <f aca="false">E44*가정값!$B$6</f>
        <v>9287.616</v>
      </c>
      <c r="F47" s="42" t="n">
        <f aca="false">F44*가정값!$B$6</f>
        <v>11330.89152</v>
      </c>
      <c r="G47" s="42" t="n">
        <f aca="false">G44*가정값!$B$6</f>
        <v>13823.6876544</v>
      </c>
      <c r="H47" s="42" t="n">
        <f aca="false">H44*가정값!$B$6</f>
        <v>16864.898938368</v>
      </c>
      <c r="I47" s="42" t="n">
        <f aca="false">I44*가정값!$B$6</f>
        <v>20575.176704809</v>
      </c>
      <c r="J47" s="42" t="n">
        <f aca="false">J44*가정값!$B$6</f>
        <v>25101.7155798669</v>
      </c>
      <c r="K47" s="42" t="n">
        <f aca="false">K44*가정값!$B$6</f>
        <v>30624.0930074377</v>
      </c>
      <c r="L47" s="42" t="n">
        <f aca="false">L44*가정값!$B$6</f>
        <v>37361.3934690739</v>
      </c>
      <c r="M47" s="42" t="n">
        <f aca="false">M44*가정값!$B$6</f>
        <v>45580.9000322702</v>
      </c>
      <c r="N47" s="42" t="n">
        <f aca="false">N44*가정값!$B$6</f>
        <v>55608.6980393696</v>
      </c>
      <c r="O47" s="42" t="n">
        <f aca="false">SUM(C47:N47)</f>
        <v>280011.870945595</v>
      </c>
    </row>
    <row r="48" customFormat="false" ht="15" hidden="false" customHeight="false" outlineLevel="0" collapsed="false">
      <c r="A48" s="5" t="s">
        <v>121</v>
      </c>
      <c r="B48" s="41"/>
      <c r="C48" s="42" t="n">
        <f aca="false">C45*가정값!$B$7</f>
        <v>4717.44</v>
      </c>
      <c r="D48" s="42" t="n">
        <f aca="false">D45*가정값!$B$7</f>
        <v>5755.2768</v>
      </c>
      <c r="E48" s="42" t="n">
        <f aca="false">E45*가정값!$B$7</f>
        <v>7021.437696</v>
      </c>
      <c r="F48" s="42" t="n">
        <f aca="false">F45*가정값!$B$7</f>
        <v>8566.15398912</v>
      </c>
      <c r="G48" s="42" t="n">
        <f aca="false">G45*가정값!$B$7</f>
        <v>10450.7078667264</v>
      </c>
      <c r="H48" s="42" t="n">
        <f aca="false">H45*가정값!$B$7</f>
        <v>12749.8635974062</v>
      </c>
      <c r="I48" s="42" t="n">
        <f aca="false">I45*가정값!$B$7</f>
        <v>15554.8335888356</v>
      </c>
      <c r="J48" s="42" t="n">
        <f aca="false">J45*가정값!$B$7</f>
        <v>18976.8969783794</v>
      </c>
      <c r="K48" s="42" t="n">
        <f aca="false">K45*가정값!$B$7</f>
        <v>23151.8143136229</v>
      </c>
      <c r="L48" s="42" t="n">
        <f aca="false">L45*가정값!$B$7</f>
        <v>28245.2134626199</v>
      </c>
      <c r="M48" s="42" t="n">
        <f aca="false">M45*가정값!$B$7</f>
        <v>34459.1604243963</v>
      </c>
      <c r="N48" s="42" t="n">
        <f aca="false">N45*가정값!$B$7</f>
        <v>42040.1757177634</v>
      </c>
      <c r="O48" s="42" t="n">
        <f aca="false">SUM(C48:N48)</f>
        <v>211688.97443487</v>
      </c>
    </row>
    <row r="49" customFormat="false" ht="15" hidden="false" customHeight="false" outlineLevel="0" collapsed="false">
      <c r="A49" s="5" t="s">
        <v>122</v>
      </c>
      <c r="B49" s="41"/>
      <c r="C49" s="42" t="n">
        <f aca="false">C46*가정값!$B$8</f>
        <v>1663.3344</v>
      </c>
      <c r="D49" s="42" t="n">
        <f aca="false">D46*가정값!$B$8</f>
        <v>2029.267968</v>
      </c>
      <c r="E49" s="42" t="n">
        <f aca="false">E46*가정값!$B$8</f>
        <v>2475.70692096</v>
      </c>
      <c r="F49" s="42" t="n">
        <f aca="false">F46*가정값!$B$8</f>
        <v>3020.3624435712</v>
      </c>
      <c r="G49" s="42" t="n">
        <f aca="false">G46*가정값!$B$8</f>
        <v>3684.84218115686</v>
      </c>
      <c r="H49" s="42" t="n">
        <f aca="false">H46*가정값!$B$8</f>
        <v>4495.50746101137</v>
      </c>
      <c r="I49" s="42" t="n">
        <f aca="false">I46*가정값!$B$8</f>
        <v>5484.51910243388</v>
      </c>
      <c r="J49" s="42" t="n">
        <f aca="false">J46*가정값!$B$8</f>
        <v>6691.11330496933</v>
      </c>
      <c r="K49" s="42" t="n">
        <f aca="false">K46*가정값!$B$8</f>
        <v>8163.15823206258</v>
      </c>
      <c r="L49" s="42" t="n">
        <f aca="false">L46*가정값!$B$8</f>
        <v>9959.05304311635</v>
      </c>
      <c r="M49" s="42" t="n">
        <f aca="false">M46*가정값!$B$8</f>
        <v>12150.0447126019</v>
      </c>
      <c r="N49" s="42" t="n">
        <f aca="false">N46*가정값!$B$8</f>
        <v>14823.0545493744</v>
      </c>
      <c r="O49" s="42" t="n">
        <f aca="false">SUM(C49:N49)</f>
        <v>74639.9643192579</v>
      </c>
    </row>
    <row r="50" customFormat="false" ht="15" hidden="false" customHeight="false" outlineLevel="0" collapsed="false">
      <c r="A50" s="43" t="s">
        <v>123</v>
      </c>
      <c r="B50" s="44"/>
      <c r="C50" s="45" t="n">
        <f aca="false">C47+C48+C49</f>
        <v>12620.7744</v>
      </c>
      <c r="D50" s="45" t="n">
        <f aca="false">D47+D48+D49</f>
        <v>15397.344768</v>
      </c>
      <c r="E50" s="45" t="n">
        <f aca="false">E47+E48+E49</f>
        <v>18784.76061696</v>
      </c>
      <c r="F50" s="45" t="n">
        <f aca="false">F47+F48+F49</f>
        <v>22917.4079526912</v>
      </c>
      <c r="G50" s="45" t="n">
        <f aca="false">G47+G48+G49</f>
        <v>27959.2377022833</v>
      </c>
      <c r="H50" s="45" t="n">
        <f aca="false">H47+H48+H49</f>
        <v>34110.2699967856</v>
      </c>
      <c r="I50" s="45" t="n">
        <f aca="false">I47+I48+I49</f>
        <v>41614.5293960784</v>
      </c>
      <c r="J50" s="45" t="n">
        <f aca="false">J47+J48+J49</f>
        <v>50769.7258632157</v>
      </c>
      <c r="K50" s="45" t="n">
        <f aca="false">K47+K48+K49</f>
        <v>61939.0655531231</v>
      </c>
      <c r="L50" s="45" t="n">
        <f aca="false">L47+L48+L49</f>
        <v>75565.6599748102</v>
      </c>
      <c r="M50" s="45" t="n">
        <f aca="false">M47+M48+M49</f>
        <v>92190.1051692684</v>
      </c>
      <c r="N50" s="45" t="n">
        <f aca="false">N47+N48+N49</f>
        <v>112471.928306507</v>
      </c>
      <c r="O50" s="45" t="n">
        <f aca="false">SUM(C50:N50)</f>
        <v>566340.809699723</v>
      </c>
    </row>
    <row r="51" customFormat="false" ht="15" hidden="false" customHeight="false" outlineLevel="0" collapsed="false">
      <c r="A51" s="11" t="s">
        <v>124</v>
      </c>
      <c r="B51" s="41"/>
      <c r="C51" s="42" t="n">
        <f aca="false">-(C47*가정값!$B$13+C48*가정값!$B$14+C45*가정값!$B$16+C49*가정값!$B$15+C46*가정값!$B$16)</f>
        <v>-1991.5174656</v>
      </c>
      <c r="D51" s="42" t="n">
        <f aca="false">-(D47*가정값!$B$13+D48*가정값!$B$14+D45*가정값!$B$16+D49*가정값!$B$15+D46*가정값!$B$16)</f>
        <v>-2429.651308032</v>
      </c>
      <c r="E51" s="42" t="n">
        <f aca="false">-(E47*가정값!$B$13+E48*가정값!$B$14+E45*가정값!$B$16+E49*가정값!$B$15+E46*가정값!$B$16)</f>
        <v>-2964.17459579904</v>
      </c>
      <c r="F51" s="42" t="n">
        <f aca="false">-(F47*가정값!$B$13+F48*가정값!$B$14+F45*가정값!$B$16+F49*가정값!$B$15+F46*가정값!$B$16)</f>
        <v>-3616.29300687483</v>
      </c>
      <c r="G51" s="42" t="n">
        <f aca="false">-(G47*가정값!$B$13+G48*가정값!$B$14+G45*가정값!$B$16+G49*가정값!$B$15+G46*가정값!$B$16)</f>
        <v>-4411.87746838729</v>
      </c>
      <c r="H51" s="42" t="n">
        <f aca="false">-(H47*가정값!$B$13+H48*가정값!$B$14+H45*가정값!$B$16+H49*가정값!$B$15+H46*가정값!$B$16)</f>
        <v>-5382.49051143249</v>
      </c>
      <c r="I51" s="42" t="n">
        <f aca="false">-(I47*가정값!$B$13+I48*가정값!$B$14+I45*가정값!$B$16+I49*가정값!$B$15+I46*가정값!$B$16)</f>
        <v>-6566.63842394765</v>
      </c>
      <c r="J51" s="42" t="n">
        <f aca="false">-(J47*가정값!$B$13+J48*가정값!$B$14+J45*가정값!$B$16+J49*가정값!$B$15+J46*가정값!$B$16)</f>
        <v>-8011.29887721612</v>
      </c>
      <c r="K51" s="42" t="n">
        <f aca="false">-(K47*가정값!$B$13+K48*가정값!$B$14+K45*가정값!$B$16+K49*가정값!$B$15+K46*가정값!$B$16)</f>
        <v>-9773.78463020367</v>
      </c>
      <c r="L51" s="42" t="n">
        <f aca="false">-(L47*가정값!$B$13+L48*가정값!$B$14+L45*가정값!$B$16+L49*가정값!$B$15+L46*가정값!$B$16)</f>
        <v>-11924.0172488485</v>
      </c>
      <c r="M51" s="42" t="n">
        <f aca="false">-(M47*가정값!$B$13+M48*가정값!$B$14+M45*가정값!$B$16+M49*가정값!$B$15+M46*가정값!$B$16)</f>
        <v>-14547.3010435951</v>
      </c>
      <c r="N51" s="42" t="n">
        <f aca="false">-(N47*가정값!$B$13+N48*가정값!$B$14+N45*가정값!$B$16+N49*가정값!$B$15+N46*가정값!$B$16)</f>
        <v>-17747.7072731861</v>
      </c>
      <c r="O51" s="42" t="n">
        <f aca="false">SUM(C51:N51)</f>
        <v>-89366.7518531228</v>
      </c>
    </row>
    <row r="52" customFormat="false" ht="15" hidden="false" customHeight="false" outlineLevel="0" collapsed="false">
      <c r="A52" s="11" t="s">
        <v>125</v>
      </c>
      <c r="B52" s="41"/>
      <c r="C52" s="42" t="n">
        <f aca="false">-(C47*(1-가정값!$B$13)*가정값!$B$20*가정값!$B$26+(C48*(1-가정값!$B$14)-C45*가정값!$B$16)*가정값!$B$21*가정값!$B$27+(C49*(1-가정값!$B$15)-C46*가정값!$B$16)*가정값!$B$22*가정값!$B$28)</f>
        <v>-3416.500354176</v>
      </c>
      <c r="D52" s="42" t="n">
        <f aca="false">-(D47*(1-가정값!$B$13)*가정값!$B$20*가정값!$B$26+(D48*(1-가정값!$B$14)-D45*가정값!$B$16)*가정값!$B$21*가정값!$B$27+(D49*(1-가정값!$B$15)-D46*가정값!$B$16)*가정값!$B$22*가정값!$B$28)</f>
        <v>-4168.13043209472</v>
      </c>
      <c r="E52" s="42" t="n">
        <f aca="false">-(E47*(1-가정값!$B$13)*가정값!$B$20*가정값!$B$26+(E48*(1-가정값!$B$14)-E45*가정값!$B$16)*가정값!$B$21*가정값!$B$27+(E49*(1-가정값!$B$15)-E46*가정값!$B$16)*가정값!$B$22*가정값!$B$28)</f>
        <v>-5085.11912715556</v>
      </c>
      <c r="F52" s="42" t="n">
        <f aca="false">-(F47*(1-가정값!$B$13)*가정값!$B$20*가정값!$B$26+(F48*(1-가정값!$B$14)-F45*가정값!$B$16)*가정값!$B$21*가정값!$B$27+(F49*(1-가정값!$B$15)-F46*가정값!$B$16)*가정값!$B$22*가정값!$B$28)</f>
        <v>-6203.84533512978</v>
      </c>
      <c r="G52" s="42" t="n">
        <f aca="false">-(G47*(1-가정값!$B$13)*가정값!$B$20*가정값!$B$26+(G48*(1-가정값!$B$14)-G45*가정값!$B$16)*가정값!$B$21*가정값!$B$27+(G49*(1-가정값!$B$15)-G46*가정값!$B$16)*가정값!$B$22*가정값!$B$28)</f>
        <v>-7568.69130885833</v>
      </c>
      <c r="H52" s="42" t="n">
        <f aca="false">-(H47*(1-가정값!$B$13)*가정값!$B$20*가정값!$B$26+(H48*(1-가정값!$B$14)-H45*가정값!$B$16)*가정값!$B$21*가정값!$B$27+(H49*(1-가정값!$B$15)-H46*가정값!$B$16)*가정값!$B$22*가정값!$B$28)</f>
        <v>-9233.80339680717</v>
      </c>
      <c r="I52" s="42" t="n">
        <f aca="false">-(I47*(1-가정값!$B$13)*가정값!$B$20*가정값!$B$26+(I48*(1-가정값!$B$14)-I45*가정값!$B$16)*가정값!$B$21*가정값!$B$27+(I49*(1-가정값!$B$15)-I46*가정값!$B$16)*가정값!$B$22*가정값!$B$28)</f>
        <v>-11265.2401441047</v>
      </c>
      <c r="J52" s="42" t="n">
        <f aca="false">-(J47*(1-가정값!$B$13)*가정값!$B$20*가정값!$B$26+(J48*(1-가정값!$B$14)-J45*가정값!$B$16)*가정값!$B$21*가정값!$B$27+(J49*(1-가정값!$B$15)-J46*가정값!$B$16)*가정값!$B$22*가정값!$B$28)</f>
        <v>-13743.5929758078</v>
      </c>
      <c r="K52" s="42" t="n">
        <f aca="false">-(K47*(1-가정값!$B$13)*가정값!$B$20*가정값!$B$26+(K48*(1-가정값!$B$14)-K45*가정값!$B$16)*가정값!$B$21*가정값!$B$27+(K49*(1-가정값!$B$15)-K46*가정값!$B$16)*가정값!$B$22*가정값!$B$28)</f>
        <v>-16767.1834304855</v>
      </c>
      <c r="L52" s="42" t="n">
        <f aca="false">-(L47*(1-가정값!$B$13)*가정값!$B$20*가정값!$B$26+(L48*(1-가정값!$B$14)-L45*가정값!$B$16)*가정값!$B$21*가정값!$B$27+(L49*(1-가정값!$B$15)-L46*가정값!$B$16)*가정값!$B$22*가정값!$B$28)</f>
        <v>-20455.9637851923</v>
      </c>
      <c r="M52" s="42" t="n">
        <f aca="false">-(M47*(1-가정값!$B$13)*가정값!$B$20*가정값!$B$26+(M48*(1-가정값!$B$14)-M45*가정값!$B$16)*가정값!$B$21*가정값!$B$27+(M49*(1-가정값!$B$15)-M46*가정값!$B$16)*가정값!$B$22*가정값!$B$28)</f>
        <v>-24956.2758179346</v>
      </c>
      <c r="N52" s="42" t="n">
        <f aca="false">-(N47*(1-가정값!$B$13)*가정값!$B$20*가정값!$B$26+(N48*(1-가정값!$B$14)-N45*가정값!$B$16)*가정값!$B$21*가정값!$B$27+(N49*(1-가정값!$B$15)-N46*가정값!$B$16)*가정값!$B$22*가정값!$B$28)</f>
        <v>-30446.6564978802</v>
      </c>
      <c r="O52" s="42" t="n">
        <f aca="false">SUM(C52:N52)</f>
        <v>-153311.002605627</v>
      </c>
    </row>
    <row r="53" customFormat="false" ht="15" hidden="false" customHeight="false" outlineLevel="0" collapsed="false">
      <c r="A53" s="46" t="s">
        <v>126</v>
      </c>
      <c r="B53" s="47"/>
      <c r="C53" s="48" t="n">
        <f aca="false">C50+C51+C52</f>
        <v>7212.756580224</v>
      </c>
      <c r="D53" s="48" t="n">
        <f aca="false">D50+D51+D52</f>
        <v>8799.56302787328</v>
      </c>
      <c r="E53" s="48" t="n">
        <f aca="false">E50+E51+E52</f>
        <v>10735.4668940054</v>
      </c>
      <c r="F53" s="48" t="n">
        <f aca="false">F50+F51+F52</f>
        <v>13097.2696106866</v>
      </c>
      <c r="G53" s="48" t="n">
        <f aca="false">G50+G51+G52</f>
        <v>15978.6689250376</v>
      </c>
      <c r="H53" s="48" t="n">
        <f aca="false">H50+H51+H52</f>
        <v>19493.9760885459</v>
      </c>
      <c r="I53" s="48" t="n">
        <f aca="false">I50+I51+I52</f>
        <v>23782.650828026</v>
      </c>
      <c r="J53" s="48" t="n">
        <f aca="false">J50+J51+J52</f>
        <v>29014.8340101918</v>
      </c>
      <c r="K53" s="48" t="n">
        <f aca="false">K50+K51+K52</f>
        <v>35398.0974924339</v>
      </c>
      <c r="L53" s="48" t="n">
        <f aca="false">L50+L51+L52</f>
        <v>43185.6789407694</v>
      </c>
      <c r="M53" s="48" t="n">
        <f aca="false">M50+M51+M52</f>
        <v>52686.5283077387</v>
      </c>
      <c r="N53" s="48" t="n">
        <f aca="false">N50+N51+N52</f>
        <v>64277.5645354411</v>
      </c>
      <c r="O53" s="48" t="n">
        <f aca="false">SUM(C53:N53)</f>
        <v>323663.055240974</v>
      </c>
    </row>
    <row r="54" customFormat="false" ht="15" hidden="false" customHeight="false" outlineLevel="0" collapsed="false">
      <c r="A54" s="46" t="s">
        <v>127</v>
      </c>
      <c r="B54" s="47"/>
      <c r="C54" s="48" t="n">
        <f aca="false">C53</f>
        <v>7212.756580224</v>
      </c>
      <c r="D54" s="48" t="n">
        <f aca="false">C54+D53</f>
        <v>16012.3196080973</v>
      </c>
      <c r="E54" s="48" t="n">
        <f aca="false">D54+E53</f>
        <v>26747.7865021027</v>
      </c>
      <c r="F54" s="48" t="n">
        <f aca="false">E54+F53</f>
        <v>39845.0561127893</v>
      </c>
      <c r="G54" s="48" t="n">
        <f aca="false">F54+G53</f>
        <v>55823.7250378269</v>
      </c>
      <c r="H54" s="48" t="n">
        <f aca="false">G54+H53</f>
        <v>75317.7011263728</v>
      </c>
      <c r="I54" s="48" t="n">
        <f aca="false">H54+I53</f>
        <v>99100.3519543989</v>
      </c>
      <c r="J54" s="48" t="n">
        <f aca="false">I54+J53</f>
        <v>128115.185964591</v>
      </c>
      <c r="K54" s="48" t="n">
        <f aca="false">J54+K53</f>
        <v>163513.283457025</v>
      </c>
      <c r="L54" s="48" t="n">
        <f aca="false">K54+L53</f>
        <v>206698.962397794</v>
      </c>
      <c r="M54" s="48" t="n">
        <f aca="false">L54+M53</f>
        <v>259385.490705533</v>
      </c>
      <c r="N54" s="48" t="n">
        <f aca="false">M54+N53</f>
        <v>323663.055240974</v>
      </c>
      <c r="O54" s="48" t="n">
        <f aca="false">N54</f>
        <v>323663.055240974</v>
      </c>
    </row>
    <row r="55" customFormat="false" ht="15" hidden="false" customHeight="false" outlineLevel="0" collapsed="false">
      <c r="A55" s="43" t="s">
        <v>128</v>
      </c>
      <c r="C55" s="45" t="n">
        <f aca="false">C53</f>
        <v>7212.756580224</v>
      </c>
      <c r="D55" s="45" t="n">
        <f aca="false">D53</f>
        <v>8799.56302787328</v>
      </c>
      <c r="E55" s="45" t="n">
        <f aca="false">E53</f>
        <v>10735.4668940054</v>
      </c>
      <c r="F55" s="45" t="n">
        <f aca="false">F53</f>
        <v>13097.2696106866</v>
      </c>
      <c r="G55" s="45" t="n">
        <f aca="false">G53</f>
        <v>15978.6689250376</v>
      </c>
      <c r="H55" s="45" t="n">
        <f aca="false">H53</f>
        <v>19493.9760885459</v>
      </c>
      <c r="I55" s="45" t="n">
        <f aca="false">I53</f>
        <v>23782.650828026</v>
      </c>
      <c r="J55" s="45" t="n">
        <f aca="false">J53</f>
        <v>29014.8340101918</v>
      </c>
      <c r="K55" s="45" t="n">
        <f aca="false">K53</f>
        <v>35398.0974924339</v>
      </c>
      <c r="L55" s="45" t="n">
        <f aca="false">L53</f>
        <v>43185.6789407694</v>
      </c>
      <c r="M55" s="45" t="n">
        <f aca="false">M53</f>
        <v>52686.5283077387</v>
      </c>
      <c r="N55" s="45" t="n">
        <f aca="false">N53</f>
        <v>64277.5645354411</v>
      </c>
      <c r="O55" s="45" t="n">
        <f aca="false">SUM(C55:N55)</f>
        <v>323663.055240974</v>
      </c>
    </row>
    <row r="56" customFormat="false" ht="15" hidden="false" customHeight="false" outlineLevel="0" collapsed="false">
      <c r="A56" s="49" t="s">
        <v>129</v>
      </c>
      <c r="C56" s="50" t="n">
        <f aca="false">C55*1400</f>
        <v>10097859.2123136</v>
      </c>
      <c r="D56" s="50" t="n">
        <f aca="false">D55*1400</f>
        <v>12319388.2390226</v>
      </c>
      <c r="E56" s="50" t="n">
        <f aca="false">E55*1400</f>
        <v>15029653.6516076</v>
      </c>
      <c r="F56" s="50" t="n">
        <f aca="false">F55*1400</f>
        <v>18336177.4549612</v>
      </c>
      <c r="G56" s="50" t="n">
        <f aca="false">G55*1400</f>
        <v>22370136.4950527</v>
      </c>
      <c r="H56" s="50" t="n">
        <f aca="false">H55*1400</f>
        <v>27291566.5239643</v>
      </c>
      <c r="I56" s="50" t="n">
        <f aca="false">I55*1400</f>
        <v>33295711.1592364</v>
      </c>
      <c r="J56" s="50" t="n">
        <f aca="false">J55*1400</f>
        <v>40620767.6142685</v>
      </c>
      <c r="K56" s="50" t="n">
        <f aca="false">K55*1400</f>
        <v>49557336.4894075</v>
      </c>
      <c r="L56" s="50" t="n">
        <f aca="false">L55*1400</f>
        <v>60459950.5170771</v>
      </c>
      <c r="M56" s="50" t="n">
        <f aca="false">M55*1400</f>
        <v>73761139.6308341</v>
      </c>
      <c r="N56" s="50" t="n">
        <f aca="false">N55*1400</f>
        <v>89988590.3496176</v>
      </c>
      <c r="O56" s="50" t="n">
        <f aca="false">N56*1400</f>
        <v>125984026489.465</v>
      </c>
    </row>
  </sheetData>
  <mergeCells count="5">
    <mergeCell ref="A1:O1"/>
    <mergeCell ref="A2:O2"/>
    <mergeCell ref="A4:O4"/>
    <mergeCell ref="A22:O22"/>
    <mergeCell ref="A40:O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7"/>
  </cols>
  <sheetData>
    <row r="1" customFormat="false" ht="24" hidden="false" customHeight="true" outlineLevel="0" collapsed="false">
      <c r="A1" s="37" t="s">
        <v>132</v>
      </c>
      <c r="B1" s="37"/>
      <c r="C1" s="37"/>
      <c r="D1" s="37"/>
      <c r="E1" s="37"/>
    </row>
    <row r="2" customFormat="false" ht="14.15" hidden="false" customHeight="false" outlineLevel="0" collapsed="false">
      <c r="A2" s="2" t="s">
        <v>133</v>
      </c>
      <c r="B2" s="2"/>
      <c r="C2" s="2"/>
      <c r="D2" s="2"/>
      <c r="E2" s="2"/>
    </row>
    <row r="4" customFormat="false" ht="15" hidden="false" customHeight="false" outlineLevel="0" collapsed="false">
      <c r="A4" s="55" t="s">
        <v>134</v>
      </c>
      <c r="B4" s="56" t="s">
        <v>135</v>
      </c>
      <c r="C4" s="16" t="s">
        <v>136</v>
      </c>
      <c r="D4" s="24" t="s">
        <v>137</v>
      </c>
      <c r="E4" s="57" t="s">
        <v>138</v>
      </c>
    </row>
    <row r="5" customFormat="false" ht="19.5" hidden="false" customHeight="true" outlineLevel="0" collapsed="false">
      <c r="A5" s="3" t="s">
        <v>139</v>
      </c>
    </row>
    <row r="6" customFormat="false" ht="15" hidden="false" customHeight="false" outlineLevel="0" collapsed="false">
      <c r="A6" s="11" t="s">
        <v>140</v>
      </c>
      <c r="B6" s="21" t="n">
        <v>500</v>
      </c>
      <c r="C6" s="21" t="n">
        <v>5000</v>
      </c>
      <c r="D6" s="21" t="n">
        <v>20000</v>
      </c>
      <c r="E6" s="21" t="n">
        <v>100000</v>
      </c>
    </row>
    <row r="7" customFormat="false" ht="15" hidden="false" customHeight="false" outlineLevel="0" collapsed="false">
      <c r="A7" s="11" t="s">
        <v>55</v>
      </c>
      <c r="B7" s="9" t="n">
        <v>0.4</v>
      </c>
      <c r="C7" s="9" t="n">
        <v>0.62</v>
      </c>
      <c r="D7" s="9" t="n">
        <v>0.7</v>
      </c>
      <c r="E7" s="9" t="n">
        <v>0.8</v>
      </c>
    </row>
    <row r="8" customFormat="false" ht="15" hidden="false" customHeight="false" outlineLevel="0" collapsed="false">
      <c r="A8" s="11" t="s">
        <v>57</v>
      </c>
      <c r="B8" s="9" t="n">
        <v>0.03</v>
      </c>
      <c r="C8" s="9" t="n">
        <v>0.08</v>
      </c>
      <c r="D8" s="9" t="n">
        <v>0.13</v>
      </c>
      <c r="E8" s="9" t="n">
        <v>0.2</v>
      </c>
    </row>
    <row r="9" customFormat="false" ht="15" hidden="false" customHeight="false" outlineLevel="0" collapsed="false">
      <c r="A9" s="5" t="s">
        <v>59</v>
      </c>
      <c r="B9" s="9" t="n">
        <v>0.2</v>
      </c>
      <c r="C9" s="9" t="n">
        <v>0.39</v>
      </c>
      <c r="D9" s="9" t="n">
        <v>0.55</v>
      </c>
      <c r="E9" s="9" t="n">
        <v>0.7</v>
      </c>
    </row>
    <row r="10" customFormat="false" ht="15" hidden="false" customHeight="false" outlineLevel="0" collapsed="false">
      <c r="A10" s="5" t="s">
        <v>61</v>
      </c>
      <c r="B10" s="9" t="n">
        <v>0.1</v>
      </c>
      <c r="C10" s="9" t="n">
        <v>0.24</v>
      </c>
      <c r="D10" s="9" t="n">
        <v>0.4</v>
      </c>
      <c r="E10" s="9" t="n">
        <v>0.55</v>
      </c>
    </row>
    <row r="11" customFormat="false" ht="15" hidden="false" customHeight="false" outlineLevel="0" collapsed="false">
      <c r="A11" s="11" t="s">
        <v>141</v>
      </c>
      <c r="B11" s="9" t="n">
        <v>0.05</v>
      </c>
      <c r="C11" s="9" t="n">
        <v>0.18</v>
      </c>
      <c r="D11" s="9" t="n">
        <v>0.3</v>
      </c>
      <c r="E11" s="9" t="n">
        <v>0.5</v>
      </c>
    </row>
    <row r="12" customFormat="false" ht="15" hidden="false" customHeight="false" outlineLevel="0" collapsed="false">
      <c r="A12" s="5" t="s">
        <v>41</v>
      </c>
      <c r="B12" s="9" t="n">
        <v>0.5</v>
      </c>
      <c r="C12" s="9" t="n">
        <v>0.8</v>
      </c>
      <c r="D12" s="9" t="n">
        <v>0.9</v>
      </c>
      <c r="E12" s="9" t="n">
        <v>0.95</v>
      </c>
    </row>
    <row r="13" customFormat="false" ht="15" hidden="false" customHeight="false" outlineLevel="0" collapsed="false">
      <c r="A13" s="5" t="s">
        <v>43</v>
      </c>
      <c r="B13" s="9" t="n">
        <v>0.2</v>
      </c>
      <c r="C13" s="9" t="n">
        <v>0.3</v>
      </c>
      <c r="D13" s="9" t="n">
        <v>0.4</v>
      </c>
      <c r="E13" s="9" t="n">
        <v>0.5</v>
      </c>
    </row>
    <row r="14" customFormat="false" ht="15" hidden="false" customHeight="false" outlineLevel="0" collapsed="false">
      <c r="A14" s="5" t="s">
        <v>45</v>
      </c>
      <c r="B14" s="9" t="n">
        <v>0.05</v>
      </c>
      <c r="C14" s="9" t="n">
        <v>0.1</v>
      </c>
      <c r="D14" s="9" t="n">
        <v>0.2</v>
      </c>
      <c r="E14" s="9" t="n">
        <v>0.3</v>
      </c>
    </row>
    <row r="16" customFormat="false" ht="19.5" hidden="false" customHeight="true" outlineLevel="0" collapsed="false">
      <c r="A16" s="8" t="s">
        <v>142</v>
      </c>
    </row>
    <row r="17" customFormat="false" ht="15" hidden="false" customHeight="false" outlineLevel="0" collapsed="false">
      <c r="A17" s="11" t="s">
        <v>143</v>
      </c>
      <c r="B17" s="40" t="n">
        <f aca="false">B6*(1+B11)^11</f>
        <v>855.169679058157</v>
      </c>
      <c r="C17" s="40" t="n">
        <f aca="false">C6*(1+C11)^11</f>
        <v>30879.6297674115</v>
      </c>
      <c r="D17" s="40" t="n">
        <f aca="false">D6*(1+D11)^11</f>
        <v>358432.0788074</v>
      </c>
      <c r="E17" s="40" t="n">
        <f aca="false">E6*(1+E11)^11</f>
        <v>8649755.859375</v>
      </c>
    </row>
    <row r="18" customFormat="false" ht="15" hidden="false" customHeight="false" outlineLevel="0" collapsed="false">
      <c r="A18" s="11" t="s">
        <v>116</v>
      </c>
      <c r="B18" s="40" t="n">
        <f aca="false">B17*B7</f>
        <v>342.067871623263</v>
      </c>
      <c r="C18" s="40" t="n">
        <f aca="false">C17*C7</f>
        <v>19145.3704557952</v>
      </c>
      <c r="D18" s="40" t="n">
        <f aca="false">D17*D7</f>
        <v>250902.45516518</v>
      </c>
      <c r="E18" s="40" t="n">
        <f aca="false">E17*E7</f>
        <v>6919804.6875</v>
      </c>
    </row>
    <row r="19" customFormat="false" ht="15" hidden="false" customHeight="false" outlineLevel="0" collapsed="false">
      <c r="A19" s="5" t="s">
        <v>117</v>
      </c>
      <c r="B19" s="40" t="n">
        <f aca="false">B18*B8*8</f>
        <v>82.0962891895831</v>
      </c>
      <c r="C19" s="40" t="n">
        <f aca="false">C18*C8*8</f>
        <v>12253.0370917089</v>
      </c>
      <c r="D19" s="40" t="n">
        <f aca="false">D18*D8*8</f>
        <v>260938.553371787</v>
      </c>
      <c r="E19" s="40" t="n">
        <f aca="false">E18*E8*8</f>
        <v>11071687.5</v>
      </c>
    </row>
    <row r="20" customFormat="false" ht="15" hidden="false" customHeight="false" outlineLevel="0" collapsed="false">
      <c r="A20" s="5" t="s">
        <v>118</v>
      </c>
      <c r="B20" s="40" t="n">
        <f aca="false">B19*B9</f>
        <v>16.4192578379166</v>
      </c>
      <c r="C20" s="40" t="n">
        <f aca="false">C19*C9</f>
        <v>4778.68446576647</v>
      </c>
      <c r="D20" s="40" t="n">
        <f aca="false">D19*D9</f>
        <v>143516.204354483</v>
      </c>
      <c r="E20" s="40" t="n">
        <f aca="false">E19*E9</f>
        <v>7750181.25</v>
      </c>
    </row>
    <row r="21" customFormat="false" ht="15" hidden="false" customHeight="false" outlineLevel="0" collapsed="false">
      <c r="A21" s="5" t="s">
        <v>119</v>
      </c>
      <c r="B21" s="40" t="n">
        <f aca="false">B20*B10</f>
        <v>1.64192578379166</v>
      </c>
      <c r="C21" s="40" t="n">
        <f aca="false">C20*C10</f>
        <v>1146.88427178395</v>
      </c>
      <c r="D21" s="40" t="n">
        <f aca="false">D20*D10</f>
        <v>57406.4817417932</v>
      </c>
      <c r="E21" s="40" t="n">
        <f aca="false">E20*E10</f>
        <v>4262599.6875</v>
      </c>
    </row>
    <row r="22" customFormat="false" ht="15" hidden="false" customHeight="false" outlineLevel="0" collapsed="false">
      <c r="A22" s="5" t="s">
        <v>144</v>
      </c>
      <c r="B22" s="42" t="n">
        <f aca="false">15*B19</f>
        <v>1231.44433784375</v>
      </c>
      <c r="C22" s="42" t="n">
        <f aca="false">15*C19</f>
        <v>183795.556375633</v>
      </c>
      <c r="D22" s="42" t="n">
        <f aca="false">15*D19</f>
        <v>3914078.30057681</v>
      </c>
      <c r="E22" s="42" t="n">
        <f aca="false">15*E19</f>
        <v>166075312.5</v>
      </c>
    </row>
    <row r="23" customFormat="false" ht="15" hidden="false" customHeight="false" outlineLevel="0" collapsed="false">
      <c r="A23" s="5" t="s">
        <v>145</v>
      </c>
      <c r="B23" s="42" t="n">
        <f aca="false">27*B20</f>
        <v>443.319961623749</v>
      </c>
      <c r="C23" s="42" t="n">
        <f aca="false">27*C20</f>
        <v>129024.480575695</v>
      </c>
      <c r="D23" s="42" t="n">
        <f aca="false">27*D20</f>
        <v>3874937.51757104</v>
      </c>
      <c r="E23" s="42" t="n">
        <f aca="false">27*E20</f>
        <v>209254893.75</v>
      </c>
    </row>
    <row r="24" customFormat="false" ht="15" hidden="false" customHeight="false" outlineLevel="0" collapsed="false">
      <c r="A24" s="5" t="s">
        <v>146</v>
      </c>
      <c r="B24" s="42" t="n">
        <f aca="false">34*B21</f>
        <v>55.8254766489165</v>
      </c>
      <c r="C24" s="42" t="n">
        <f aca="false">34*C21</f>
        <v>38994.0652406544</v>
      </c>
      <c r="D24" s="42" t="n">
        <f aca="false">34*D21</f>
        <v>1951820.37922097</v>
      </c>
      <c r="E24" s="42" t="n">
        <f aca="false">34*E21</f>
        <v>144928389.375</v>
      </c>
    </row>
    <row r="25" customFormat="false" ht="15" hidden="false" customHeight="false" outlineLevel="0" collapsed="false">
      <c r="A25" s="58" t="s">
        <v>147</v>
      </c>
      <c r="B25" s="45" t="n">
        <f aca="false">B22+B23+B24</f>
        <v>1730.58977611641</v>
      </c>
      <c r="C25" s="45" t="n">
        <f aca="false">C22+C23+C24</f>
        <v>351814.102191983</v>
      </c>
      <c r="D25" s="45" t="n">
        <f aca="false">D22+D23+D24</f>
        <v>9740836.19736882</v>
      </c>
      <c r="E25" s="45" t="n">
        <f aca="false">E22+E23+E24</f>
        <v>520258595.625</v>
      </c>
    </row>
    <row r="26" customFormat="false" ht="15" hidden="false" customHeight="false" outlineLevel="0" collapsed="false">
      <c r="A26" s="11" t="s">
        <v>124</v>
      </c>
      <c r="B26" s="42" t="n">
        <f aca="false">-(B22*0.2+B23*0.099+B20*0.5+B24*0.099+B21*0.5)</f>
        <v>-304.734857768597</v>
      </c>
      <c r="C26" s="42" t="n">
        <f aca="false">-(C22*0.2+C23*0.099+C20*0.5+C24*0.099+C21*0.5)</f>
        <v>-56355.7316797205</v>
      </c>
      <c r="D26" s="42" t="n">
        <f aca="false">-(D22*0.2+D23*0.099+D20*0.5+D24*0.099+D21*0.5)</f>
        <v>-1460126.03494591</v>
      </c>
      <c r="E26" s="42" t="n">
        <f aca="false">-(E22*0.2+E23*0.099+E20*0.5+E24*0.099+E21*0.5)</f>
        <v>-74285597.998125</v>
      </c>
    </row>
    <row r="27" customFormat="false" ht="15" hidden="false" customHeight="false" outlineLevel="0" collapsed="false">
      <c r="A27" s="11" t="s">
        <v>148</v>
      </c>
      <c r="B27" s="42" t="n">
        <f aca="false">-(B22*(1-0.2)*가정값!$B$20*B13+(B23*(1-0.099)-B20*0.5)*가정값!$B$21*B14+(B24*(1-0.099)-B21*0.5)*가정값!$B$22*B15)</f>
        <v>-146.72425310984</v>
      </c>
      <c r="C27" s="42" t="n">
        <f aca="false">-(C22*(1-0.2)*가정값!$B$20*C13+(C23*(1-0.099)-C20*0.5)*가정값!$B$21*C14+(C24*(1-0.099)-C21*0.5)*가정값!$B$22*C15)</f>
        <v>-36001.4306355682</v>
      </c>
      <c r="D27" s="42" t="n">
        <f aca="false">-(D22*(1-0.2)*가정값!$B$20*D13+(D23*(1-0.099)-D20*0.5)*가정값!$B$21*D14+(D24*(1-0.099)-D21*0.5)*가정값!$B$22*D15)</f>
        <v>-1184513.99343309</v>
      </c>
      <c r="E27" s="42" t="n">
        <f aca="false">-(E22*(1-0.2)*가정값!$B$20*E13+(E23*(1-0.099)-E20*0.5)*가정값!$B$21*E14+(E24*(1-0.099)-E21*0.5)*가정값!$B$22*E15)</f>
        <v>-71430669.2669063</v>
      </c>
    </row>
    <row r="28" customFormat="false" ht="15" hidden="false" customHeight="false" outlineLevel="0" collapsed="false">
      <c r="A28" s="46" t="s">
        <v>149</v>
      </c>
      <c r="B28" s="48" t="n">
        <f aca="false">B25+B26+B27</f>
        <v>1279.13066523797</v>
      </c>
      <c r="C28" s="48" t="n">
        <f aca="false">C25+C26+C27</f>
        <v>259456.939876694</v>
      </c>
      <c r="D28" s="48" t="n">
        <f aca="false">D25+D26+D27</f>
        <v>7096196.16898982</v>
      </c>
      <c r="E28" s="48" t="n">
        <f aca="false">E25+E26+E27</f>
        <v>374542328.359969</v>
      </c>
    </row>
    <row r="29" customFormat="false" ht="15" hidden="false" customHeight="false" outlineLevel="0" collapsed="false">
      <c r="A29" s="46" t="s">
        <v>150</v>
      </c>
      <c r="B29" s="48" t="n">
        <f aca="false">B28*12</f>
        <v>15349.5679828557</v>
      </c>
      <c r="C29" s="48" t="n">
        <f aca="false">C28*12</f>
        <v>3113483.27852033</v>
      </c>
      <c r="D29" s="48" t="n">
        <f aca="false">D28*12</f>
        <v>85154354.0278778</v>
      </c>
      <c r="E29" s="48" t="n">
        <f aca="false">E28*12</f>
        <v>4494507940.31963</v>
      </c>
    </row>
    <row r="31" customFormat="false" ht="19.5" hidden="false" customHeight="true" outlineLevel="0" collapsed="false">
      <c r="A31" s="12" t="s">
        <v>151</v>
      </c>
    </row>
    <row r="32" customFormat="false" ht="15" hidden="false" customHeight="false" outlineLevel="0" collapsed="false">
      <c r="A32" s="11" t="s">
        <v>152</v>
      </c>
      <c r="B32" s="50" t="n">
        <f aca="false">B28*1400</f>
        <v>1790782.93133316</v>
      </c>
      <c r="C32" s="50" t="n">
        <f aca="false">C28*1400</f>
        <v>363239715.827371</v>
      </c>
      <c r="D32" s="50" t="n">
        <f aca="false">D28*1400</f>
        <v>9934674636.58575</v>
      </c>
      <c r="E32" s="50" t="n">
        <f aca="false">E28*1400</f>
        <v>524359259703.956</v>
      </c>
    </row>
    <row r="33" customFormat="false" ht="15" hidden="false" customHeight="false" outlineLevel="0" collapsed="false">
      <c r="A33" s="11" t="s">
        <v>153</v>
      </c>
      <c r="B33" s="50" t="n">
        <f aca="false">B29*1400</f>
        <v>21489395.175998</v>
      </c>
      <c r="C33" s="50" t="n">
        <f aca="false">C29*1400</f>
        <v>4358876589.92846</v>
      </c>
      <c r="D33" s="50" t="n">
        <f aca="false">D29*1400</f>
        <v>119216095639.029</v>
      </c>
      <c r="E33" s="50" t="n">
        <f aca="false">E29*1400</f>
        <v>6292311116447.48</v>
      </c>
    </row>
    <row r="35" customFormat="false" ht="19.5" hidden="false" customHeight="true" outlineLevel="0" collapsed="false">
      <c r="A35" s="59" t="s">
        <v>154</v>
      </c>
    </row>
    <row r="36" customFormat="false" ht="15" hidden="false" customHeight="false" outlineLevel="0" collapsed="false">
      <c r="A36" s="57" t="s">
        <v>15</v>
      </c>
      <c r="B36" s="57" t="s">
        <v>135</v>
      </c>
      <c r="C36" s="57" t="s">
        <v>136</v>
      </c>
      <c r="D36" s="57" t="s">
        <v>137</v>
      </c>
      <c r="E36" s="57" t="s">
        <v>138</v>
      </c>
    </row>
    <row r="37" customFormat="false" ht="15" hidden="false" customHeight="false" outlineLevel="0" collapsed="false">
      <c r="A37" s="5" t="s">
        <v>155</v>
      </c>
      <c r="B37" s="14" t="n">
        <f aca="false">가정값!B41</f>
        <v>15</v>
      </c>
      <c r="C37" s="14" t="n">
        <f aca="false">가정값!B41</f>
        <v>15</v>
      </c>
      <c r="D37" s="14" t="n">
        <f aca="false">가정값!B41</f>
        <v>15</v>
      </c>
      <c r="E37" s="14" t="n">
        <f aca="false">가정값!B41</f>
        <v>15</v>
      </c>
    </row>
    <row r="38" customFormat="false" ht="15" hidden="false" customHeight="false" outlineLevel="0" collapsed="false">
      <c r="A38" s="5" t="s">
        <v>156</v>
      </c>
      <c r="B38" s="14" t="n">
        <f aca="false">가정값!B42*B9</f>
        <v>5.4</v>
      </c>
      <c r="C38" s="14" t="n">
        <f aca="false">가정값!B42*C9</f>
        <v>10.53</v>
      </c>
      <c r="D38" s="14" t="n">
        <f aca="false">가정값!B42*D9</f>
        <v>14.85</v>
      </c>
      <c r="E38" s="14" t="n">
        <f aca="false">가정값!B42*E9</f>
        <v>18.9</v>
      </c>
    </row>
    <row r="39" customFormat="false" ht="15" hidden="false" customHeight="false" outlineLevel="0" collapsed="false">
      <c r="A39" s="5" t="s">
        <v>157</v>
      </c>
      <c r="B39" s="14" t="n">
        <f aca="false">가정값!B43*B9*B10</f>
        <v>0.68</v>
      </c>
      <c r="C39" s="14" t="n">
        <f aca="false">가정값!B43*C9*C10</f>
        <v>3.1824</v>
      </c>
      <c r="D39" s="14" t="n">
        <f aca="false">가정값!B43*D9*D10</f>
        <v>7.48</v>
      </c>
      <c r="E39" s="14" t="n">
        <f aca="false">가정값!B43*E9*E10</f>
        <v>13.09</v>
      </c>
    </row>
    <row r="40" customFormat="false" ht="15" hidden="false" customHeight="false" outlineLevel="0" collapsed="false">
      <c r="A40" s="60" t="s">
        <v>158</v>
      </c>
      <c r="B40" s="61" t="n">
        <f aca="false">가정값!B41+가정값!B42*B9+가정값!B43*B9*B10</f>
        <v>21.08</v>
      </c>
      <c r="C40" s="61" t="n">
        <f aca="false">가정값!B41+가정값!B42*C9+가정값!B43*C9*C10</f>
        <v>28.7124</v>
      </c>
      <c r="D40" s="61" t="n">
        <f aca="false">가정값!B41+가정값!B42*D9+가정값!B43*D9*D10</f>
        <v>37.33</v>
      </c>
      <c r="E40" s="61" t="n">
        <f aca="false">가정값!B41+가정값!B42*E9+가정값!B43*E9*E10</f>
        <v>46.99</v>
      </c>
    </row>
    <row r="42" customFormat="false" ht="30" hidden="false" customHeight="true" outlineLevel="0" collapsed="false">
      <c r="A42" s="62" t="s">
        <v>159</v>
      </c>
      <c r="B42" s="62"/>
      <c r="C42" s="62"/>
      <c r="D42" s="62"/>
      <c r="E42" s="62"/>
    </row>
    <row r="44" customFormat="false" ht="19.5" hidden="false" customHeight="true" outlineLevel="0" collapsed="false">
      <c r="A44" s="63" t="s">
        <v>160</v>
      </c>
    </row>
    <row r="45" customFormat="false" ht="18" hidden="false" customHeight="true" outlineLevel="0" collapsed="false">
      <c r="A45" s="64" t="s">
        <v>161</v>
      </c>
      <c r="B45" s="64"/>
      <c r="C45" s="64"/>
      <c r="D45" s="64"/>
      <c r="E45" s="64"/>
    </row>
    <row r="46" customFormat="false" ht="18" hidden="false" customHeight="true" outlineLevel="0" collapsed="false">
      <c r="A46" s="64" t="s">
        <v>162</v>
      </c>
      <c r="B46" s="64"/>
      <c r="C46" s="64"/>
      <c r="D46" s="64"/>
      <c r="E46" s="64"/>
    </row>
    <row r="47" customFormat="false" ht="18" hidden="false" customHeight="true" outlineLevel="0" collapsed="false">
      <c r="A47" s="64" t="s">
        <v>163</v>
      </c>
      <c r="B47" s="64"/>
      <c r="C47" s="64"/>
      <c r="D47" s="64"/>
      <c r="E47" s="64"/>
    </row>
    <row r="48" customFormat="false" ht="18" hidden="false" customHeight="true" outlineLevel="0" collapsed="false">
      <c r="A48" s="65" t="s">
        <v>164</v>
      </c>
      <c r="B48" s="65"/>
      <c r="C48" s="65"/>
      <c r="D48" s="65"/>
      <c r="E48" s="65"/>
    </row>
    <row r="49" customFormat="false" ht="18" hidden="false" customHeight="true" outlineLevel="0" collapsed="false">
      <c r="A49" s="66" t="s">
        <v>165</v>
      </c>
      <c r="B49" s="66"/>
      <c r="C49" s="66"/>
      <c r="D49" s="66"/>
      <c r="E49" s="66"/>
    </row>
    <row r="50" customFormat="false" ht="18" hidden="false" customHeight="true" outlineLevel="0" collapsed="false">
      <c r="A50" s="66" t="s">
        <v>166</v>
      </c>
      <c r="B50" s="66"/>
      <c r="C50" s="66"/>
      <c r="D50" s="66"/>
      <c r="E50" s="66"/>
    </row>
  </sheetData>
  <mergeCells count="9">
    <mergeCell ref="A1:E1"/>
    <mergeCell ref="A2:E2"/>
    <mergeCell ref="A42:E42"/>
    <mergeCell ref="A45:E45"/>
    <mergeCell ref="A46:E46"/>
    <mergeCell ref="A47:E47"/>
    <mergeCell ref="A48:E48"/>
    <mergeCell ref="A49:E49"/>
    <mergeCell ref="A50:E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12" min="2" style="0" width="13"/>
  </cols>
  <sheetData>
    <row r="1" customFormat="false" ht="24" hidden="false" customHeight="true" outlineLevel="0" collapsed="false">
      <c r="A1" s="67" t="s">
        <v>167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customFormat="false" ht="14.15" hidden="false" customHeight="false" outlineLevel="0" collapsed="false">
      <c r="A2" s="2" t="s">
        <v>168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4" hidden="false" customHeight="false" outlineLevel="0" collapsed="false">
      <c r="A3" s="68" t="s">
        <v>169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</row>
    <row r="4" customFormat="false" ht="15" hidden="false" customHeight="false" outlineLevel="0" collapsed="false">
      <c r="A4" s="55" t="s">
        <v>170</v>
      </c>
      <c r="B4" s="69" t="s">
        <v>171</v>
      </c>
      <c r="C4" s="69" t="s">
        <v>172</v>
      </c>
      <c r="D4" s="69" t="s">
        <v>173</v>
      </c>
      <c r="E4" s="69" t="s">
        <v>174</v>
      </c>
      <c r="F4" s="69" t="s">
        <v>175</v>
      </c>
      <c r="G4" s="69" t="s">
        <v>176</v>
      </c>
      <c r="H4" s="69" t="s">
        <v>177</v>
      </c>
      <c r="I4" s="69" t="s">
        <v>67</v>
      </c>
      <c r="J4" s="55" t="s">
        <v>178</v>
      </c>
      <c r="K4" s="55" t="s">
        <v>179</v>
      </c>
      <c r="L4" s="55" t="s">
        <v>180</v>
      </c>
    </row>
    <row r="5" customFormat="false" ht="15" hidden="false" customHeight="false" outlineLevel="0" collapsed="false">
      <c r="A5" s="70" t="s">
        <v>181</v>
      </c>
      <c r="B5" s="71" t="n">
        <f aca="false">ROUND(가정값!$E$32*가정값!$E$33/8*가정값!$E$34,1)</f>
        <v>12.6</v>
      </c>
      <c r="C5" s="71" t="n">
        <f aca="false">ROUND(B5*가정값!$E$35,1)</f>
        <v>4.8</v>
      </c>
      <c r="D5" s="71" t="n">
        <f aca="false">ROUND(C5*가정값!$E$36,1)</f>
        <v>1.1</v>
      </c>
      <c r="E5" s="72" t="n">
        <f aca="false">B5*15</f>
        <v>189</v>
      </c>
      <c r="F5" s="72" t="n">
        <f aca="false">C5*27</f>
        <v>129.6</v>
      </c>
      <c r="G5" s="72" t="n">
        <f aca="false">D5*34</f>
        <v>37.4</v>
      </c>
      <c r="H5" s="72" t="n">
        <f aca="false">E5+F5+G5</f>
        <v>356</v>
      </c>
      <c r="I5" s="72" t="n">
        <f aca="false">-(E5*0.2+F5*0.099+C5*0.5+G5*0.099+D5*0.5)</f>
        <v>-57.283</v>
      </c>
      <c r="J5" s="72" t="n">
        <f aca="false">-(E5*(1-0.2)*가정값!$B$20*가정값!$B$26+(F5*(1-0.099)-C5*0.5)*가정값!$B$21*가정값!$B$27+(G5*(1-0.099)-D5*0.5)*가정값!$B$22*가정값!$B$28)</f>
        <v>-101.437792</v>
      </c>
      <c r="K5" s="73" t="n">
        <f aca="false">H5+I5+J5</f>
        <v>197.279208</v>
      </c>
      <c r="L5" s="74" t="n">
        <f aca="false">IF(H5&lt;&gt;0,K5/H5,0)</f>
        <v>0.554155078651685</v>
      </c>
    </row>
    <row r="6" customFormat="false" ht="15" hidden="false" customHeight="false" outlineLevel="0" collapsed="false">
      <c r="A6" s="75" t="s">
        <v>182</v>
      </c>
      <c r="B6" s="71" t="n">
        <f aca="false">ROUND(가정값!$E$32*가정값!$E$33/8*가정값!$E$34,1)</f>
        <v>12.6</v>
      </c>
      <c r="C6" s="71" t="n">
        <f aca="false">ROUND(B6*가정값!$E$35,1)</f>
        <v>4.8</v>
      </c>
      <c r="D6" s="71" t="n">
        <f aca="false">ROUND(C6*가정값!$E$36,1)</f>
        <v>1.1</v>
      </c>
      <c r="E6" s="72" t="n">
        <f aca="false">B6*15</f>
        <v>189</v>
      </c>
      <c r="F6" s="72" t="n">
        <f aca="false">C6*27</f>
        <v>129.6</v>
      </c>
      <c r="G6" s="72" t="n">
        <f aca="false">D6*34</f>
        <v>37.4</v>
      </c>
      <c r="H6" s="72" t="n">
        <f aca="false">E6+F6+G6</f>
        <v>356</v>
      </c>
      <c r="I6" s="72" t="n">
        <f aca="false">-(E6*0.2+F6*0.099+C6*0.5+G6*0.099+D6*0.5)</f>
        <v>-57.283</v>
      </c>
      <c r="J6" s="72" t="n">
        <f aca="false">-(E6*(1-0.2)*가정값!$B$20*가정값!$B$26+(F6*(1-0.099)-C6*0.5)*가정값!$B$21*가정값!$B$27+(G6*(1-0.099)-D6*0.5)*가정값!$B$22*가정값!$B$28)</f>
        <v>-101.437792</v>
      </c>
      <c r="K6" s="73" t="n">
        <f aca="false">H6+I6+J6</f>
        <v>197.279208</v>
      </c>
      <c r="L6" s="74" t="n">
        <f aca="false">IF(H6&lt;&gt;0,K6/H6,0)</f>
        <v>0.554155078651685</v>
      </c>
    </row>
    <row r="7" customFormat="false" ht="15" hidden="false" customHeight="false" outlineLevel="0" collapsed="false">
      <c r="A7" s="76" t="s">
        <v>183</v>
      </c>
      <c r="B7" s="71" t="n">
        <f aca="false">ROUND(가정값!$E$32*가정값!$E$33/8*가정값!$E$34,1)</f>
        <v>12.6</v>
      </c>
      <c r="C7" s="71" t="n">
        <f aca="false">ROUND(B7*가정값!$E$35,1)</f>
        <v>4.8</v>
      </c>
      <c r="D7" s="71" t="n">
        <f aca="false">ROUND(C7*가정값!$E$36,1)</f>
        <v>1.1</v>
      </c>
      <c r="E7" s="72" t="n">
        <f aca="false">B7*15</f>
        <v>189</v>
      </c>
      <c r="F7" s="72" t="n">
        <f aca="false">C7*27</f>
        <v>129.6</v>
      </c>
      <c r="G7" s="72" t="n">
        <f aca="false">D7*34</f>
        <v>37.4</v>
      </c>
      <c r="H7" s="72" t="n">
        <f aca="false">E7+F7+G7</f>
        <v>356</v>
      </c>
      <c r="I7" s="72" t="n">
        <f aca="false">-(E7*0.2+F7*0.099+C7*0.5+G7*0.099+D7*0.5)</f>
        <v>-57.283</v>
      </c>
      <c r="J7" s="72" t="n">
        <f aca="false">-(E7*(1-0.2)*가정값!$B$20*가정값!$B$26+(F7*(1-0.099)-C7*0.5)*가정값!$B$21*가정값!$B$27+(G7*(1-0.099)-D7*0.5)*가정값!$B$22*가정값!$B$28)</f>
        <v>-101.437792</v>
      </c>
      <c r="K7" s="73" t="n">
        <f aca="false">H7+I7+J7</f>
        <v>197.279208</v>
      </c>
      <c r="L7" s="74" t="n">
        <f aca="false">IF(H7&lt;&gt;0,K7/H7,0)</f>
        <v>0.554155078651685</v>
      </c>
    </row>
    <row r="8" customFormat="false" ht="15" hidden="false" customHeight="false" outlineLevel="0" collapsed="false">
      <c r="A8" s="77" t="s">
        <v>184</v>
      </c>
      <c r="B8" s="71" t="n">
        <f aca="false">ROUND(가정값!$E$32*가정값!$E$33/8*가정값!$E$34,1)</f>
        <v>12.6</v>
      </c>
      <c r="C8" s="71" t="n">
        <f aca="false">ROUND(B8*가정값!$E$35,1)</f>
        <v>4.8</v>
      </c>
      <c r="D8" s="71" t="n">
        <f aca="false">ROUND(C8*가정값!$E$36,1)</f>
        <v>1.1</v>
      </c>
      <c r="E8" s="72" t="n">
        <f aca="false">B8*15</f>
        <v>189</v>
      </c>
      <c r="F8" s="72" t="n">
        <f aca="false">C8*27</f>
        <v>129.6</v>
      </c>
      <c r="G8" s="72" t="n">
        <f aca="false">D8*34</f>
        <v>37.4</v>
      </c>
      <c r="H8" s="72" t="n">
        <f aca="false">E8+F8+G8</f>
        <v>356</v>
      </c>
      <c r="I8" s="72" t="n">
        <f aca="false">-(E8*0.2+F8*0.099+C8*0.5+G8*0.099+D8*0.5)</f>
        <v>-57.283</v>
      </c>
      <c r="J8" s="72" t="n">
        <f aca="false">-(E8*(1-0.2)*가정값!$B$20*가정값!$B$26+(F8*(1-0.099)-C8*0.5)*가정값!$B$21*가정값!$B$27+(G8*(1-0.099)-D8*0.5)*가정값!$B$22*가정값!$B$28)</f>
        <v>-101.437792</v>
      </c>
      <c r="K8" s="73" t="n">
        <f aca="false">H8+I8+J8</f>
        <v>197.279208</v>
      </c>
      <c r="L8" s="74" t="n">
        <f aca="false">IF(H8&lt;&gt;0,K8/H8,0)</f>
        <v>0.554155078651685</v>
      </c>
    </row>
    <row r="9" customFormat="false" ht="15" hidden="false" customHeight="false" outlineLevel="0" collapsed="false">
      <c r="A9" s="75" t="s">
        <v>185</v>
      </c>
      <c r="B9" s="71" t="n">
        <f aca="false">ROUND(가정값!$E$32*가정값!$E$33/8*가정값!$E$34,1)</f>
        <v>12.6</v>
      </c>
      <c r="C9" s="71" t="n">
        <f aca="false">ROUND(B9*가정값!$E$35,1)</f>
        <v>4.8</v>
      </c>
      <c r="D9" s="71" t="n">
        <f aca="false">ROUND(C9*가정값!$E$36,1)</f>
        <v>1.1</v>
      </c>
      <c r="E9" s="72" t="n">
        <f aca="false">B9*15</f>
        <v>189</v>
      </c>
      <c r="F9" s="72" t="n">
        <f aca="false">C9*27</f>
        <v>129.6</v>
      </c>
      <c r="G9" s="72" t="n">
        <f aca="false">D9*34</f>
        <v>37.4</v>
      </c>
      <c r="H9" s="72" t="n">
        <f aca="false">E9+F9+G9</f>
        <v>356</v>
      </c>
      <c r="I9" s="72" t="n">
        <f aca="false">-(E9*0.2+F9*0.099+C9*0.5+G9*0.099+D9*0.5)</f>
        <v>-57.283</v>
      </c>
      <c r="J9" s="72" t="n">
        <f aca="false">-(E9*(1-0.2)*가정값!$B$20*가정값!$B$26+(F9*(1-0.099)-C9*0.5)*가정값!$B$21*가정값!$B$27+(G9*(1-0.099)-D9*0.5)*가정값!$B$22*가정값!$B$28)</f>
        <v>-101.437792</v>
      </c>
      <c r="K9" s="73" t="n">
        <f aca="false">H9+I9+J9</f>
        <v>197.279208</v>
      </c>
      <c r="L9" s="74" t="n">
        <f aca="false">IF(H9&lt;&gt;0,K9/H9,0)</f>
        <v>0.554155078651685</v>
      </c>
    </row>
    <row r="10" customFormat="false" ht="15" hidden="false" customHeight="false" outlineLevel="0" collapsed="false">
      <c r="A10" s="78" t="s">
        <v>186</v>
      </c>
      <c r="B10" s="71" t="n">
        <f aca="false">ROUND(가정값!$E$32*가정값!$E$33/8*가정값!$E$34,1)</f>
        <v>12.6</v>
      </c>
      <c r="C10" s="71" t="n">
        <f aca="false">ROUND(B10*가정값!$E$35,1)</f>
        <v>4.8</v>
      </c>
      <c r="D10" s="71" t="n">
        <f aca="false">ROUND(C10*가정값!$E$36,1)</f>
        <v>1.1</v>
      </c>
      <c r="E10" s="72" t="n">
        <f aca="false">B10*15</f>
        <v>189</v>
      </c>
      <c r="F10" s="72" t="n">
        <f aca="false">C10*27</f>
        <v>129.6</v>
      </c>
      <c r="G10" s="72" t="n">
        <f aca="false">D10*34</f>
        <v>37.4</v>
      </c>
      <c r="H10" s="72" t="n">
        <f aca="false">E10+F10+G10</f>
        <v>356</v>
      </c>
      <c r="I10" s="72" t="n">
        <f aca="false">-(E10*0.2+F10*0.099+C10*0.5+G10*0.099+D10*0.5)</f>
        <v>-57.283</v>
      </c>
      <c r="J10" s="72" t="n">
        <f aca="false">-(E10*(1-0.2)*가정값!$B$20*가정값!$B$26+(F10*(1-0.099)-C10*0.5)*가정값!$B$21*가정값!$B$27+(G10*(1-0.099)-D10*0.5)*가정값!$B$22*가정값!$B$28)</f>
        <v>-101.437792</v>
      </c>
      <c r="K10" s="73" t="n">
        <f aca="false">H10+I10+J10</f>
        <v>197.279208</v>
      </c>
      <c r="L10" s="74" t="n">
        <f aca="false">IF(H10&lt;&gt;0,K10/H10,0)</f>
        <v>0.554155078651685</v>
      </c>
    </row>
    <row r="11" customFormat="false" ht="15" hidden="false" customHeight="false" outlineLevel="0" collapsed="false">
      <c r="A11" s="79" t="s">
        <v>187</v>
      </c>
      <c r="B11" s="71" t="n">
        <f aca="false">ROUND(가정값!$E$32*가정값!$E$33/8*가정값!$E$34,1)</f>
        <v>12.6</v>
      </c>
      <c r="C11" s="71" t="n">
        <f aca="false">ROUND(B11*가정값!$E$35,1)</f>
        <v>4.8</v>
      </c>
      <c r="D11" s="71" t="n">
        <f aca="false">ROUND(C11*가정값!$E$36,1)</f>
        <v>1.1</v>
      </c>
      <c r="E11" s="72" t="n">
        <f aca="false">B11*15</f>
        <v>189</v>
      </c>
      <c r="F11" s="72" t="n">
        <f aca="false">C11*27</f>
        <v>129.6</v>
      </c>
      <c r="G11" s="72" t="n">
        <f aca="false">D11*34</f>
        <v>37.4</v>
      </c>
      <c r="H11" s="72" t="n">
        <f aca="false">E11+F11+G11</f>
        <v>356</v>
      </c>
      <c r="I11" s="72" t="n">
        <f aca="false">-(E11*0.2+F11*0.099+C11*0.5+G11*0.099+D11*0.5)</f>
        <v>-57.283</v>
      </c>
      <c r="J11" s="72" t="n">
        <f aca="false">-(E11*(1-0.2)*가정값!$B$20*가정값!$B$26+(F11*(1-0.099)-C11*0.5)*가정값!$B$21*가정값!$B$27+(G11*(1-0.099)-D11*0.5)*가정값!$B$22*가정값!$B$28)</f>
        <v>-101.437792</v>
      </c>
      <c r="K11" s="73" t="n">
        <f aca="false">H11+I11+J11</f>
        <v>197.279208</v>
      </c>
      <c r="L11" s="74" t="n">
        <f aca="false">IF(H11&lt;&gt;0,K11/H11,0)</f>
        <v>0.554155078651685</v>
      </c>
    </row>
    <row r="12" customFormat="false" ht="15" hidden="false" customHeight="false" outlineLevel="0" collapsed="false">
      <c r="A12" s="80" t="s">
        <v>188</v>
      </c>
      <c r="B12" s="71" t="n">
        <f aca="false">ROUND(가정값!$E$32*가정값!$E$33/8*가정값!$E$34,1)</f>
        <v>12.6</v>
      </c>
      <c r="C12" s="71" t="n">
        <f aca="false">ROUND(B12*가정값!$E$35,1)</f>
        <v>4.8</v>
      </c>
      <c r="D12" s="71" t="n">
        <f aca="false">ROUND(C12*가정값!$E$36,1)</f>
        <v>1.1</v>
      </c>
      <c r="E12" s="72" t="n">
        <f aca="false">B12*15</f>
        <v>189</v>
      </c>
      <c r="F12" s="72" t="n">
        <f aca="false">C12*27</f>
        <v>129.6</v>
      </c>
      <c r="G12" s="72" t="n">
        <f aca="false">D12*34</f>
        <v>37.4</v>
      </c>
      <c r="H12" s="72" t="n">
        <f aca="false">E12+F12+G12</f>
        <v>356</v>
      </c>
      <c r="I12" s="72" t="n">
        <f aca="false">-(E12*0.2+F12*0.099+C12*0.5+G12*0.099+D12*0.5)</f>
        <v>-57.283</v>
      </c>
      <c r="J12" s="72" t="n">
        <f aca="false">-(E12*(1-0.2)*가정값!$B$20*가정값!$B$26+(F12*(1-0.099)-C12*0.5)*가정값!$B$21*가정값!$B$27+(G12*(1-0.099)-D12*0.5)*가정값!$B$22*가정값!$B$28)</f>
        <v>-101.437792</v>
      </c>
      <c r="K12" s="73" t="n">
        <f aca="false">H12+I12+J12</f>
        <v>197.279208</v>
      </c>
      <c r="L12" s="74" t="n">
        <f aca="false">IF(H12&lt;&gt;0,K12/H12,0)</f>
        <v>0.554155078651685</v>
      </c>
    </row>
    <row r="14" customFormat="false" ht="15" hidden="false" customHeight="false" outlineLevel="0" collapsed="false">
      <c r="A14" s="81" t="s">
        <v>189</v>
      </c>
      <c r="B14" s="82" t="n">
        <f aca="false">SUM(B5:B13)</f>
        <v>100.8</v>
      </c>
      <c r="C14" s="82" t="n">
        <f aca="false">SUM(C5:C13)</f>
        <v>38.4</v>
      </c>
      <c r="D14" s="82" t="n">
        <f aca="false">SUM(D5:D13)</f>
        <v>8.8</v>
      </c>
      <c r="E14" s="83" t="n">
        <f aca="false">SUM(E5:E13)</f>
        <v>1512</v>
      </c>
      <c r="F14" s="83" t="n">
        <f aca="false">SUM(F5:F13)</f>
        <v>1036.8</v>
      </c>
      <c r="G14" s="83" t="n">
        <f aca="false">SUM(G5:G13)</f>
        <v>299.2</v>
      </c>
      <c r="H14" s="83" t="n">
        <f aca="false">SUM(H5:H13)</f>
        <v>2848</v>
      </c>
      <c r="I14" s="83" t="n">
        <f aca="false">SUM(I5:I13)</f>
        <v>-458.264</v>
      </c>
      <c r="J14" s="83" t="n">
        <f aca="false">SUM(J5:J13)</f>
        <v>-811.502336</v>
      </c>
      <c r="K14" s="83" t="n">
        <f aca="false">SUM(K5:K13)</f>
        <v>1578.233664</v>
      </c>
      <c r="L14" s="84" t="n">
        <f aca="false">IF(H14&lt;&gt;0,K14/H14,0)</f>
        <v>0.554155078651685</v>
      </c>
    </row>
    <row r="16" customFormat="false" ht="19.5" hidden="false" customHeight="true" outlineLevel="0" collapsed="false">
      <c r="A16" s="12" t="s">
        <v>190</v>
      </c>
    </row>
    <row r="17" customFormat="false" ht="15" hidden="false" customHeight="false" outlineLevel="0" collapsed="false">
      <c r="A17" s="13" t="s">
        <v>191</v>
      </c>
      <c r="B17" s="13" t="s">
        <v>192</v>
      </c>
      <c r="C17" s="13" t="s">
        <v>193</v>
      </c>
      <c r="D17" s="13" t="s">
        <v>29</v>
      </c>
      <c r="E17" s="13" t="s">
        <v>79</v>
      </c>
    </row>
    <row r="18" customFormat="false" ht="15" hidden="false" customHeight="false" outlineLevel="0" collapsed="false">
      <c r="A18" s="26" t="s">
        <v>194</v>
      </c>
      <c r="B18" s="27" t="n">
        <f aca="false">가정값!B41</f>
        <v>15</v>
      </c>
      <c r="C18" s="27" t="n">
        <f aca="false">가정값!B42</f>
        <v>27</v>
      </c>
      <c r="D18" s="27" t="n">
        <f aca="false">가정값!B45</f>
        <v>0</v>
      </c>
      <c r="E18" s="15" t="s">
        <v>195</v>
      </c>
    </row>
    <row r="19" customFormat="false" ht="15" hidden="false" customHeight="false" outlineLevel="0" collapsed="false">
      <c r="A19" s="26" t="s">
        <v>196</v>
      </c>
      <c r="B19" s="27" t="n">
        <f aca="false">가정값!B42</f>
        <v>27</v>
      </c>
      <c r="C19" s="27" t="n">
        <f aca="false">가정값!B43</f>
        <v>34</v>
      </c>
      <c r="D19" s="27" t="str">
        <f aca="false">가정값!B46</f>
        <v>T1 상당</v>
      </c>
      <c r="E19" s="15" t="s">
        <v>197</v>
      </c>
    </row>
    <row r="20" customFormat="false" ht="15" hidden="false" customHeight="false" outlineLevel="0" collapsed="false">
      <c r="A20" s="26" t="s">
        <v>198</v>
      </c>
      <c r="B20" s="27" t="n">
        <f aca="false">가정값!B43</f>
        <v>34</v>
      </c>
      <c r="C20" s="27" t="n">
        <f aca="false">가정값!B44</f>
        <v>0</v>
      </c>
      <c r="D20" s="27" t="str">
        <f aca="false">가정값!B47</f>
        <v>-</v>
      </c>
      <c r="E20" s="15" t="s">
        <v>199</v>
      </c>
    </row>
    <row r="22" customFormat="false" ht="27.75" hidden="false" customHeight="true" outlineLevel="0" collapsed="false">
      <c r="A22" s="85" t="s">
        <v>200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</row>
  </sheetData>
  <mergeCells count="4">
    <mergeCell ref="A1:L1"/>
    <mergeCell ref="A2:L2"/>
    <mergeCell ref="A3:L3"/>
    <mergeCell ref="A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2026-02-21T05:39:44Z</dcterms:created>
  <dc:creator>openpyxl</dc:creator>
  <dc:description/>
  <dc:language>en-US</dc:language>
  <cp:lastModifiedBy/>
  <dcterms:modified xsi:type="dcterms:W3CDTF">2026-02-21T05:39:44Z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