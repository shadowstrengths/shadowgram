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값" sheetId="1" state="visible" r:id="rId3"/>
    <sheet name="월별 성장" sheetId="2" state="visible" r:id="rId4"/>
    <sheet name="시나리오 비교" sheetId="3" state="visible" r:id="rId5"/>
    <sheet name="유형별 대시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<sst xmlns="http://schemas.openxmlformats.org/spreadsheetml/2006/main" count="183" uniqueCount="178">
  <si>
    <r>
      <rPr>
        <b val="true"/>
        <sz val="13"/>
        <color rgb="FFFFFFFF"/>
        <rFont val="Cambria"/>
        <family val="0"/>
        <charset val="1"/>
      </rPr>
      <t xml:space="preserve">☀ ShiningShadow — Hotmart </t>
    </r>
    <r>
      <rPr>
        <b val="true"/>
        <sz val="13"/>
        <color rgb="FFFFFFFF"/>
        <rFont val="Noto Sans CJK KR"/>
        <family val="2"/>
      </rPr>
      <t xml:space="preserve">완전판 매출 시뮬레이터 </t>
    </r>
    <r>
      <rPr>
        <b val="true"/>
        <sz val="13"/>
        <color rgb="FFFFFFFF"/>
        <rFont val="Cambria"/>
        <family val="0"/>
        <charset val="1"/>
      </rPr>
      <t xml:space="preserve">v4  (8</t>
    </r>
    <r>
      <rPr>
        <b val="true"/>
        <sz val="13"/>
        <color rgb="FFFFFFFF"/>
        <rFont val="Noto Sans CJK KR"/>
        <family val="2"/>
      </rPr>
      <t xml:space="preserve">유형 </t>
    </r>
    <r>
      <rPr>
        <b val="true"/>
        <sz val="13"/>
        <color rgb="FFFFFFFF"/>
        <rFont val="Cambria"/>
        <family val="0"/>
        <charset val="1"/>
      </rPr>
      <t xml:space="preserve">× 3</t>
    </r>
    <r>
      <rPr>
        <b val="true"/>
        <sz val="13"/>
        <color rgb="FFFFFFFF"/>
        <rFont val="Noto Sans CJK KR"/>
        <family val="2"/>
      </rPr>
      <t xml:space="preserve">티어 </t>
    </r>
    <r>
      <rPr>
        <b val="true"/>
        <sz val="13"/>
        <color rgb="FFFFFFFF"/>
        <rFont val="Cambria"/>
        <family val="0"/>
        <charset val="1"/>
      </rPr>
      <t xml:space="preserve">· </t>
    </r>
    <r>
      <rPr>
        <b val="true"/>
        <sz val="13"/>
        <color rgb="FFFFFFFF"/>
        <rFont val="Noto Sans CJK KR"/>
        <family val="2"/>
      </rPr>
      <t xml:space="preserve">제휴 중심 전략</t>
    </r>
    <r>
      <rPr>
        <b val="true"/>
        <sz val="13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</si>
  <si>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🔵 파란색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KR"/>
        <family val="2"/>
      </rPr>
      <t xml:space="preserve">직접입력  ⚫ 검정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KR"/>
        <family val="2"/>
      </rPr>
      <t xml:space="preserve">자동계산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Noto Sans CJK KR"/>
        <family val="2"/>
      </rPr>
      <t xml:space="preserve">퍼널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KR"/>
        <family val="2"/>
      </rPr>
      <t xml:space="preserve">무료진단 → 무료개요리포트 → </t>
    </r>
    <r>
      <rPr>
        <sz val="11"/>
        <color theme="1"/>
        <rFont val="Calibri"/>
        <family val="2"/>
        <charset val="1"/>
      </rPr>
      <t xml:space="preserve">Hotmart </t>
    </r>
    <r>
      <rPr>
        <sz val="11"/>
        <color theme="1"/>
        <rFont val="Noto Sans CJK KR"/>
        <family val="2"/>
      </rPr>
      <t xml:space="preserve">유형별 링크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T1 70%</t>
    </r>
    <r>
      <rPr>
        <sz val="11"/>
        <color theme="1"/>
        <rFont val="Noto Sans CJK KR"/>
        <family val="2"/>
      </rPr>
      <t xml:space="preserve">로 바이럴 극대화</t>
    </r>
  </si>
  <si>
    <r>
      <rPr>
        <b val="true"/>
        <sz val="11"/>
        <color rgb="FF1F4E79"/>
        <rFont val="Noto Sans CJK KR"/>
        <family val="2"/>
      </rPr>
      <t xml:space="preserve">① 상품 가격 구조 — 누적 포함 </t>
    </r>
    <r>
      <rPr>
        <b val="true"/>
        <sz val="11"/>
        <color rgb="FF1F4E79"/>
        <rFont val="Cambria"/>
        <family val="0"/>
        <charset val="1"/>
      </rPr>
      <t xml:space="preserve">(</t>
    </r>
    <r>
      <rPr>
        <b val="true"/>
        <sz val="11"/>
        <color rgb="FF1F4E79"/>
        <rFont val="Noto Sans CJK KR"/>
        <family val="2"/>
      </rPr>
      <t xml:space="preserve">박리다매 </t>
    </r>
    <r>
      <rPr>
        <b val="true"/>
        <sz val="11"/>
        <color rgb="FF1F4E79"/>
        <rFont val="Cambria"/>
        <family val="0"/>
        <charset val="1"/>
      </rPr>
      <t xml:space="preserve">· </t>
    </r>
    <r>
      <rPr>
        <b val="true"/>
        <sz val="11"/>
        <color rgb="FF1F4E79"/>
        <rFont val="Noto Sans CJK KR"/>
        <family val="2"/>
      </rPr>
      <t xml:space="preserve">남미 최적화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</si>
  <si>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Tier 1  ·  Basic + </t>
    </r>
    <r>
      <rPr>
        <sz val="11"/>
        <color theme="1"/>
        <rFont val="Noto Sans CJK KR"/>
        <family val="2"/>
      </rPr>
      <t xml:space="preserve">부록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KR"/>
        <family val="2"/>
      </rPr>
      <t xml:space="preserve">포함</t>
    </r>
  </si>
  <si>
    <r>
      <rPr>
        <sz val="11"/>
        <color theme="1"/>
        <rFont val="Calibri"/>
        <family val="2"/>
        <charset val="1"/>
      </rPr>
      <t xml:space="preserve">$15 · </t>
    </r>
    <r>
      <rPr>
        <sz val="11"/>
        <color theme="1"/>
        <rFont val="Noto Sans CJK KR"/>
        <family val="2"/>
      </rPr>
      <t xml:space="preserve">마이크로트랜잭션 상한 </t>
    </r>
    <r>
      <rPr>
        <sz val="11"/>
        <color theme="1"/>
        <rFont val="Calibri"/>
        <family val="2"/>
        <charset val="1"/>
      </rPr>
      <t xml:space="preserve">· Hotmart </t>
    </r>
    <r>
      <rPr>
        <sz val="11"/>
        <color theme="1"/>
        <rFont val="Noto Sans CJK KR"/>
        <family val="2"/>
      </rPr>
      <t xml:space="preserve">수수료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KR"/>
        <family val="2"/>
      </rPr>
      <t xml:space="preserve">적용</t>
    </r>
  </si>
  <si>
    <r>
      <rPr>
        <sz val="11"/>
        <color theme="1"/>
        <rFont val="Calibri"/>
        <family val="2"/>
        <charset val="1"/>
      </rPr>
      <t xml:space="preserve">Tier 2  ·  Tier1 </t>
    </r>
    <r>
      <rPr>
        <sz val="11"/>
        <color theme="1"/>
        <rFont val="Noto Sans CJK KR"/>
        <family val="2"/>
      </rPr>
      <t xml:space="preserve">전체 </t>
    </r>
    <r>
      <rPr>
        <sz val="11"/>
        <color theme="1"/>
        <rFont val="Calibri"/>
        <family val="2"/>
        <charset val="1"/>
      </rPr>
      <t xml:space="preserve">+ Deep + </t>
    </r>
    <r>
      <rPr>
        <sz val="11"/>
        <color theme="1"/>
        <rFont val="Noto Sans CJK KR"/>
        <family val="2"/>
      </rPr>
      <t xml:space="preserve">부록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KR"/>
        <family val="2"/>
      </rPr>
      <t xml:space="preserve">포함</t>
    </r>
  </si>
  <si>
    <r>
      <rPr>
        <sz val="11"/>
        <color theme="1"/>
        <rFont val="Calibri"/>
        <family val="2"/>
        <charset val="1"/>
      </rPr>
      <t xml:space="preserve">$24 · </t>
    </r>
    <r>
      <rPr>
        <sz val="11"/>
        <color theme="1"/>
        <rFont val="Noto Sans CJK KR"/>
        <family val="2"/>
      </rPr>
      <t xml:space="preserve">주력 상품 </t>
    </r>
    <r>
      <rPr>
        <sz val="11"/>
        <color theme="1"/>
        <rFont val="Calibri"/>
        <family val="2"/>
        <charset val="1"/>
      </rPr>
      <t xml:space="preserve">· Hotmart </t>
    </r>
    <r>
      <rPr>
        <sz val="11"/>
        <color theme="1"/>
        <rFont val="Noto Sans CJK KR"/>
        <family val="2"/>
      </rPr>
      <t xml:space="preserve">수수료 </t>
    </r>
    <r>
      <rPr>
        <sz val="11"/>
        <color theme="1"/>
        <rFont val="Calibri"/>
        <family val="2"/>
        <charset val="1"/>
      </rPr>
      <t xml:space="preserve">9.9%+$0.50 </t>
    </r>
    <r>
      <rPr>
        <sz val="11"/>
        <color theme="1"/>
        <rFont val="Noto Sans CJK KR"/>
        <family val="2"/>
      </rPr>
      <t xml:space="preserve">적용</t>
    </r>
  </si>
  <si>
    <r>
      <rPr>
        <sz val="11"/>
        <color theme="1"/>
        <rFont val="Calibri"/>
        <family val="2"/>
        <charset val="1"/>
      </rPr>
      <t xml:space="preserve">Tier 3  ·  Tier2 </t>
    </r>
    <r>
      <rPr>
        <sz val="11"/>
        <color theme="1"/>
        <rFont val="Noto Sans CJK KR"/>
        <family val="2"/>
      </rPr>
      <t xml:space="preserve">전체 </t>
    </r>
    <r>
      <rPr>
        <sz val="11"/>
        <color theme="1"/>
        <rFont val="Calibri"/>
        <family val="2"/>
        <charset val="1"/>
      </rPr>
      <t xml:space="preserve">+ Master + </t>
    </r>
    <r>
      <rPr>
        <sz val="11"/>
        <color theme="1"/>
        <rFont val="Noto Sans CJK KR"/>
        <family val="2"/>
      </rPr>
      <t xml:space="preserve">부록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KR"/>
        <family val="2"/>
      </rPr>
      <t xml:space="preserve">포함</t>
    </r>
  </si>
  <si>
    <r>
      <rPr>
        <sz val="11"/>
        <color theme="1"/>
        <rFont val="Calibri"/>
        <family val="2"/>
        <charset val="1"/>
      </rPr>
      <t xml:space="preserve">$29 · </t>
    </r>
    <r>
      <rPr>
        <sz val="11"/>
        <color theme="1"/>
        <rFont val="Noto Sans CJK KR"/>
        <family val="2"/>
      </rPr>
      <t xml:space="preserve">완전판 </t>
    </r>
    <r>
      <rPr>
        <sz val="11"/>
        <color theme="1"/>
        <rFont val="Calibri"/>
        <family val="2"/>
        <charset val="1"/>
      </rPr>
      <t xml:space="preserve">· Hotmart </t>
    </r>
    <r>
      <rPr>
        <sz val="11"/>
        <color theme="1"/>
        <rFont val="Noto Sans CJK KR"/>
        <family val="2"/>
      </rPr>
      <t xml:space="preserve">수수료 </t>
    </r>
    <r>
      <rPr>
        <sz val="11"/>
        <color theme="1"/>
        <rFont val="Calibri"/>
        <family val="2"/>
        <charset val="1"/>
      </rPr>
      <t xml:space="preserve">9.9%+$0.50 </t>
    </r>
    <r>
      <rPr>
        <sz val="11"/>
        <color theme="1"/>
        <rFont val="Noto Sans CJK KR"/>
        <family val="2"/>
      </rPr>
      <t xml:space="preserve">적용</t>
    </r>
  </si>
  <si>
    <r>
      <rPr>
        <sz val="11"/>
        <color theme="1"/>
        <rFont val="Noto Sans CJK KR"/>
        <family val="2"/>
      </rPr>
      <t xml:space="preserve">무료 기본개요 리포트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퍼널 입구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</si>
  <si>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FREE · </t>
    </r>
    <r>
      <rPr>
        <sz val="11"/>
        <color theme="1"/>
        <rFont val="Noto Sans CJK KR"/>
        <family val="2"/>
      </rPr>
      <t xml:space="preserve">진단 후 자동발송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KR"/>
        <family val="2"/>
      </rPr>
      <t xml:space="preserve">내부 링크로 유료 연결</t>
    </r>
  </si>
  <si>
    <r>
      <rPr>
        <b val="true"/>
        <sz val="11"/>
        <color rgb="FF1F4E79"/>
        <rFont val="Cambria"/>
        <family val="0"/>
        <charset val="1"/>
      </rPr>
      <t xml:space="preserve">② Shadowgram </t>
    </r>
    <r>
      <rPr>
        <b val="true"/>
        <sz val="11"/>
        <color rgb="FF1F4E79"/>
        <rFont val="Noto Sans CJK KR"/>
        <family val="2"/>
      </rPr>
      <t xml:space="preserve">퍼널 전환율 가정</t>
    </r>
  </si>
  <si>
    <r>
      <rPr>
        <sz val="11"/>
        <color theme="1"/>
        <rFont val="Noto Sans CJK KR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Shadowgram </t>
    </r>
    <r>
      <rPr>
        <sz val="11"/>
        <color theme="1"/>
        <rFont val="Noto Sans CJK KR"/>
        <family val="2"/>
      </rPr>
      <t xml:space="preserve">진단 완료 수</t>
    </r>
  </si>
  <si>
    <t xml:space="preserve">무료진단 완료 → 이메일 입력 단계</t>
  </si>
  <si>
    <r>
      <rPr>
        <sz val="11"/>
        <color theme="1"/>
        <rFont val="Noto Sans CJK KR"/>
        <family val="2"/>
      </rPr>
      <t xml:space="preserve">이메일 입력률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진단 완료 중</t>
    </r>
    <r>
      <rPr>
        <sz val="11"/>
        <color theme="1"/>
        <rFont val="Calibri"/>
        <family val="2"/>
        <charset val="1"/>
      </rPr>
      <t xml:space="preserve">)</t>
    </r>
  </si>
  <si>
    <t xml:space="preserve">무료 리포트 받으려고 자연 입력</t>
  </si>
  <si>
    <r>
      <rPr>
        <sz val="11"/>
        <color theme="1"/>
        <rFont val="Noto Sans CJK KR"/>
        <family val="2"/>
      </rPr>
      <t xml:space="preserve">무료개요 → </t>
    </r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전환율</t>
    </r>
  </si>
  <si>
    <t xml:space="preserve">리포트 내 링크 클릭 후 구매</t>
  </si>
  <si>
    <r>
      <rPr>
        <sz val="11"/>
        <color theme="1"/>
        <rFont val="Calibri"/>
        <family val="2"/>
        <charset val="1"/>
      </rPr>
      <t xml:space="preserve">Tier1 → Tier2 </t>
    </r>
    <r>
      <rPr>
        <sz val="11"/>
        <color theme="1"/>
        <rFont val="Noto Sans CJK KR"/>
        <family val="2"/>
      </rPr>
      <t xml:space="preserve">업셀 전환율</t>
    </r>
  </si>
  <si>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포함이므로 자연 업그레이드</t>
    </r>
  </si>
  <si>
    <r>
      <rPr>
        <sz val="11"/>
        <color theme="1"/>
        <rFont val="Calibri"/>
        <family val="2"/>
        <charset val="1"/>
      </rPr>
      <t xml:space="preserve">Tier2 → Tier3 </t>
    </r>
    <r>
      <rPr>
        <sz val="11"/>
        <color theme="1"/>
        <rFont val="Noto Sans CJK KR"/>
        <family val="2"/>
      </rPr>
      <t xml:space="preserve">업셀 전환율</t>
    </r>
  </si>
  <si>
    <t xml:space="preserve">완전판 원하는 헤비유저</t>
  </si>
  <si>
    <r>
      <rPr>
        <sz val="11"/>
        <color theme="1"/>
        <rFont val="Noto Sans CJK KR"/>
        <family val="2"/>
      </rPr>
      <t xml:space="preserve">월 성장률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바이럴 복리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</si>
  <si>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진단 공유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KR"/>
        <family val="2"/>
      </rPr>
      <t xml:space="preserve">리추얼 인증 루프</t>
    </r>
  </si>
  <si>
    <r>
      <rPr>
        <b val="true"/>
        <sz val="11"/>
        <color rgb="FF1F4E79"/>
        <rFont val="Cambria"/>
        <family val="0"/>
        <charset val="1"/>
      </rPr>
      <t xml:space="preserve">③ Hotmart </t>
    </r>
    <r>
      <rPr>
        <b val="true"/>
        <sz val="11"/>
        <color rgb="FF1F4E79"/>
        <rFont val="Noto Sans CJK KR"/>
        <family val="2"/>
      </rPr>
      <t xml:space="preserve">수수료 구조 </t>
    </r>
    <r>
      <rPr>
        <b val="true"/>
        <sz val="11"/>
        <color rgb="FF1F4E79"/>
        <rFont val="Cambria"/>
        <family val="0"/>
        <charset val="1"/>
      </rPr>
      <t xml:space="preserve">(</t>
    </r>
    <r>
      <rPr>
        <b val="true"/>
        <sz val="11"/>
        <color rgb="FF1F4E79"/>
        <rFont val="Noto Sans CJK KR"/>
        <family val="2"/>
      </rPr>
      <t xml:space="preserve">티어별 차등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</si>
  <si>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Hotmart </t>
    </r>
    <r>
      <rPr>
        <sz val="11"/>
        <color theme="1"/>
        <rFont val="Noto Sans CJK KR"/>
        <family val="2"/>
      </rPr>
      <t xml:space="preserve">수수료율 — </t>
    </r>
    <r>
      <rPr>
        <sz val="11"/>
        <color theme="1"/>
        <rFont val="Calibri"/>
        <family val="2"/>
        <charset val="1"/>
      </rPr>
      <t xml:space="preserve">Tier 1 ($15, </t>
    </r>
    <r>
      <rPr>
        <sz val="11"/>
        <color theme="1"/>
        <rFont val="Noto Sans CJK KR"/>
        <family val="2"/>
      </rPr>
      <t xml:space="preserve">마이크로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</si>
  <si>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KR"/>
        <family val="2"/>
      </rPr>
      <t xml:space="preserve">고정 </t>
    </r>
    <r>
      <rPr>
        <sz val="11"/>
        <color theme="1"/>
        <rFont val="Calibri"/>
        <family val="2"/>
        <charset val="1"/>
      </rPr>
      <t xml:space="preserve">(≤$15 </t>
    </r>
    <r>
      <rPr>
        <sz val="11"/>
        <color theme="1"/>
        <rFont val="Noto Sans CJK KR"/>
        <family val="2"/>
      </rPr>
      <t xml:space="preserve">마이크로트랜잭션 정책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</si>
  <si>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Hotmart </t>
    </r>
    <r>
      <rPr>
        <sz val="11"/>
        <color theme="1"/>
        <rFont val="Noto Sans CJK KR"/>
        <family val="2"/>
      </rPr>
      <t xml:space="preserve">수수료율 — </t>
    </r>
    <r>
      <rPr>
        <sz val="11"/>
        <color theme="1"/>
        <rFont val="Calibri"/>
        <family val="2"/>
        <charset val="1"/>
      </rPr>
      <t xml:space="preserve">Tier 2 ($24)</t>
    </r>
  </si>
  <si>
    <r>
      <rPr>
        <sz val="11"/>
        <color theme="1"/>
        <rFont val="Calibri"/>
        <family val="2"/>
        <charset val="1"/>
      </rPr>
      <t xml:space="preserve">9.9% (+ </t>
    </r>
    <r>
      <rPr>
        <sz val="11"/>
        <color theme="1"/>
        <rFont val="Noto Sans CJK KR"/>
        <family val="2"/>
      </rPr>
      <t xml:space="preserve">고정액 별도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</si>
  <si>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Hotmart </t>
    </r>
    <r>
      <rPr>
        <sz val="11"/>
        <color theme="1"/>
        <rFont val="Noto Sans CJK KR"/>
        <family val="2"/>
      </rPr>
      <t xml:space="preserve">수수료율 — </t>
    </r>
    <r>
      <rPr>
        <sz val="11"/>
        <color theme="1"/>
        <rFont val="Calibri"/>
        <family val="2"/>
        <charset val="1"/>
      </rPr>
      <t xml:space="preserve">Tier 3 ($29)</t>
    </r>
  </si>
  <si>
    <r>
      <rPr>
        <sz val="11"/>
        <color theme="1"/>
        <rFont val="Calibri"/>
        <family val="2"/>
        <charset val="1"/>
      </rPr>
      <t xml:space="preserve">Hotmart </t>
    </r>
    <r>
      <rPr>
        <sz val="11"/>
        <color theme="1"/>
        <rFont val="Noto Sans CJK KR"/>
        <family val="2"/>
      </rPr>
      <t xml:space="preserve">고정액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(T2·T3 </t>
    </r>
    <r>
      <rPr>
        <sz val="11"/>
        <color theme="1"/>
        <rFont val="Noto Sans CJK KR"/>
        <family val="2"/>
      </rPr>
      <t xml:space="preserve">적용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</si>
  <si>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$0.50/</t>
    </r>
    <r>
      <rPr>
        <sz val="11"/>
        <color theme="1"/>
        <rFont val="Noto Sans CJK KR"/>
        <family val="2"/>
      </rPr>
      <t xml:space="preserve">건 추가 차감</t>
    </r>
  </si>
  <si>
    <r>
      <rPr>
        <b val="true"/>
        <sz val="11"/>
        <color rgb="FF1F4E79"/>
        <rFont val="Noto Sans CJK KR"/>
        <family val="2"/>
      </rPr>
      <t xml:space="preserve">④ 제휴 커미션 전략 — </t>
    </r>
    <r>
      <rPr>
        <b val="true"/>
        <sz val="11"/>
        <color rgb="FF1F4E79"/>
        <rFont val="Cambria"/>
        <family val="0"/>
        <charset val="1"/>
      </rPr>
      <t xml:space="preserve">T1 70%</t>
    </r>
    <r>
      <rPr>
        <b val="true"/>
        <sz val="11"/>
        <color rgb="FF1F4E79"/>
        <rFont val="Noto Sans CJK KR"/>
        <family val="2"/>
      </rPr>
      <t xml:space="preserve">로 바이럴</t>
    </r>
    <r>
      <rPr>
        <b val="true"/>
        <sz val="11"/>
        <color rgb="FF1F4E79"/>
        <rFont val="Cambria"/>
        <family val="0"/>
        <charset val="1"/>
      </rPr>
      <t xml:space="preserve">, T2/T3</t>
    </r>
    <r>
      <rPr>
        <b val="true"/>
        <sz val="11"/>
        <color rgb="FF1F4E79"/>
        <rFont val="Noto Sans CJK KR"/>
        <family val="2"/>
      </rPr>
      <t xml:space="preserve">는 이메일로 직접 업셀</t>
    </r>
  </si>
  <si>
    <r>
      <rPr>
        <sz val="11"/>
        <color theme="1"/>
        <rFont val="Noto Sans CJK KR"/>
        <family val="2"/>
      </rPr>
      <t xml:space="preserve">제휴 커미션율 — </t>
    </r>
    <r>
      <rPr>
        <sz val="11"/>
        <color theme="1"/>
        <rFont val="Calibri"/>
        <family val="2"/>
        <charset val="1"/>
      </rPr>
      <t xml:space="preserve">Tier 1</t>
    </r>
  </si>
  <si>
    <r>
      <rPr>
        <sz val="11"/>
        <color theme="1"/>
        <rFont val="Calibri"/>
        <family val="2"/>
        <charset val="1"/>
      </rPr>
      <t xml:space="preserve">70% · </t>
    </r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$8.40/</t>
    </r>
    <r>
      <rPr>
        <sz val="11"/>
        <color theme="1"/>
        <rFont val="Noto Sans CJK KR"/>
        <family val="2"/>
      </rPr>
      <t xml:space="preserve">건 </t>
    </r>
    <r>
      <rPr>
        <sz val="11"/>
        <color theme="1"/>
        <rFont val="Calibri"/>
        <family val="2"/>
        <charset val="1"/>
      </rPr>
      <t xml:space="preserve">· '</t>
    </r>
    <r>
      <rPr>
        <sz val="11"/>
        <color theme="1"/>
        <rFont val="Noto Sans CJK KR"/>
        <family val="2"/>
      </rPr>
      <t xml:space="preserve">이게 말이 돼</t>
    </r>
    <r>
      <rPr>
        <sz val="11"/>
        <color theme="1"/>
        <rFont val="Calibri"/>
        <family val="2"/>
        <charset val="1"/>
      </rPr>
      <t xml:space="preserve">?' → </t>
    </r>
    <r>
      <rPr>
        <sz val="11"/>
        <color theme="1"/>
        <rFont val="Noto Sans CJK KR"/>
        <family val="2"/>
      </rPr>
      <t xml:space="preserve">미친 듯 홍보</t>
    </r>
  </si>
  <si>
    <r>
      <rPr>
        <sz val="11"/>
        <color theme="1"/>
        <rFont val="Noto Sans CJK KR"/>
        <family val="2"/>
      </rPr>
      <t xml:space="preserve">제휴 커미션율 — </t>
    </r>
    <r>
      <rPr>
        <sz val="11"/>
        <color theme="1"/>
        <rFont val="Calibri"/>
        <family val="2"/>
        <charset val="1"/>
      </rPr>
      <t xml:space="preserve">Tier 2</t>
    </r>
  </si>
  <si>
    <r>
      <rPr>
        <sz val="11"/>
        <color theme="1"/>
        <rFont val="Calibri"/>
        <family val="2"/>
        <charset val="1"/>
      </rPr>
      <t xml:space="preserve">50% · </t>
    </r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$10.56/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</si>
  <si>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Noto Sans CJK KR"/>
        <family val="2"/>
      </rPr>
      <t xml:space="preserve">제휴 커미션율 — </t>
    </r>
    <r>
      <rPr>
        <sz val="11"/>
        <color theme="1"/>
        <rFont val="Calibri"/>
        <family val="2"/>
        <charset val="1"/>
      </rPr>
      <t xml:space="preserve">Tier 3</t>
    </r>
  </si>
  <si>
    <r>
      <rPr>
        <sz val="11"/>
        <color theme="1"/>
        <rFont val="Calibri"/>
        <family val="2"/>
        <charset val="1"/>
      </rPr>
      <t xml:space="preserve">50% · </t>
    </r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$12.81/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</si>
  <si>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Noto Sans CJK KR"/>
        <family val="2"/>
      </rPr>
      <t xml:space="preserve">제휴 경유 비중 — </t>
    </r>
    <r>
      <rPr>
        <sz val="11"/>
        <color theme="1"/>
        <rFont val="Calibri"/>
        <family val="2"/>
        <charset val="1"/>
      </rPr>
      <t xml:space="preserve">Tier 1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</si>
  <si>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판매의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KR"/>
        <family val="2"/>
      </rPr>
      <t xml:space="preserve">는 제휴사 경유 → 바이럴 엔진</t>
    </r>
  </si>
  <si>
    <r>
      <rPr>
        <sz val="11"/>
        <color theme="1"/>
        <rFont val="Noto Sans CJK KR"/>
        <family val="2"/>
      </rPr>
      <t xml:space="preserve">제휴 경유 비중 — </t>
    </r>
    <r>
      <rPr>
        <sz val="11"/>
        <color theme="1"/>
        <rFont val="Calibri"/>
        <family val="2"/>
        <charset val="1"/>
      </rPr>
      <t xml:space="preserve">Tier 2</t>
    </r>
  </si>
  <si>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KR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KR"/>
        <family val="2"/>
      </rPr>
      <t xml:space="preserve">제휴 </t>
    </r>
    <r>
      <rPr>
        <sz val="11"/>
        <color theme="1"/>
        <rFont val="Calibri"/>
        <family val="2"/>
        <charset val="1"/>
      </rPr>
      <t xml:space="preserve">/ 70% </t>
    </r>
    <r>
      <rPr>
        <sz val="11"/>
        <color theme="1"/>
        <rFont val="Noto Sans CJK KR"/>
        <family val="2"/>
      </rPr>
      <t xml:space="preserve">이메일 직접 업셀</t>
    </r>
  </si>
  <si>
    <r>
      <rPr>
        <sz val="11"/>
        <color theme="1"/>
        <rFont val="Noto Sans CJK KR"/>
        <family val="2"/>
      </rPr>
      <t xml:space="preserve">제휴 경유 비중 — </t>
    </r>
    <r>
      <rPr>
        <sz val="11"/>
        <color theme="1"/>
        <rFont val="Calibri"/>
        <family val="2"/>
        <charset val="1"/>
      </rPr>
      <t xml:space="preserve">Tier 3</t>
    </r>
  </si>
  <si>
    <r>
      <rPr>
        <sz val="11"/>
        <color theme="1"/>
        <rFont val="Calibri"/>
        <family val="2"/>
        <charset val="1"/>
      </rPr>
      <t xml:space="preserve">T3</t>
    </r>
    <r>
      <rPr>
        <sz val="11"/>
        <color theme="1"/>
        <rFont val="Noto Sans CJK KR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KR"/>
        <family val="2"/>
      </rPr>
      <t xml:space="preserve">제휴 </t>
    </r>
    <r>
      <rPr>
        <sz val="11"/>
        <color theme="1"/>
        <rFont val="Calibri"/>
        <family val="2"/>
        <charset val="1"/>
      </rPr>
      <t xml:space="preserve">/ 90% </t>
    </r>
    <r>
      <rPr>
        <sz val="11"/>
        <color theme="1"/>
        <rFont val="Noto Sans CJK KR"/>
        <family val="2"/>
      </rPr>
      <t xml:space="preserve">직접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충성 고객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</si>
  <si>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9"/>
        <rFont val="Noto Sans CJK KR"/>
        <family val="2"/>
      </rPr>
      <t xml:space="preserve">⑤ 유형별 월 수량 </t>
    </r>
    <r>
      <rPr>
        <b val="true"/>
        <sz val="11"/>
        <color rgb="FF1F4E79"/>
        <rFont val="Cambria"/>
        <family val="0"/>
        <charset val="1"/>
      </rPr>
      <t xml:space="preserve">(M1 </t>
    </r>
    <r>
      <rPr>
        <b val="true"/>
        <sz val="11"/>
        <color rgb="FF1F4E79"/>
        <rFont val="Noto Sans CJK KR"/>
        <family val="2"/>
      </rPr>
      <t xml:space="preserve">기준 </t>
    </r>
    <r>
      <rPr>
        <b val="true"/>
        <sz val="11"/>
        <color rgb="FF1F4E79"/>
        <rFont val="Cambria"/>
        <family val="0"/>
        <charset val="1"/>
      </rPr>
      <t xml:space="preserve">· 8</t>
    </r>
    <r>
      <rPr>
        <b val="true"/>
        <sz val="11"/>
        <color rgb="FF1F4E79"/>
        <rFont val="Noto Sans CJK KR"/>
        <family val="2"/>
      </rPr>
      <t xml:space="preserve">유형 균등 가정 </t>
    </r>
    <r>
      <rPr>
        <b val="true"/>
        <sz val="11"/>
        <color rgb="FF1F4E79"/>
        <rFont val="Cambria"/>
        <family val="0"/>
        <charset val="1"/>
      </rPr>
      <t xml:space="preserve">· </t>
    </r>
    <r>
      <rPr>
        <b val="true"/>
        <sz val="11"/>
        <color rgb="FF1F4E79"/>
        <rFont val="Noto Sans CJK KR"/>
        <family val="2"/>
      </rPr>
      <t xml:space="preserve">자동계산</t>
    </r>
    <r>
      <rPr>
        <b val="true"/>
        <sz val="11"/>
        <color rgb="FF1F4E79"/>
        <rFont val="Cambria"/>
        <family val="0"/>
        <charset val="1"/>
      </rPr>
      <t xml:space="preserve">)</t>
    </r>
  </si>
  <si>
    <t xml:space="preserve">유형별 이메일 수집 수</t>
  </si>
  <si>
    <r>
      <rPr>
        <sz val="11"/>
        <color theme="1"/>
        <rFont val="Noto Sans CJK KR"/>
        <family val="2"/>
      </rPr>
      <t xml:space="preserve">진단완료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KR"/>
        <family val="2"/>
      </rPr>
      <t xml:space="preserve">이메일율</t>
    </r>
    <r>
      <rPr>
        <sz val="11"/>
        <color theme="1"/>
        <rFont val="Calibri"/>
        <family val="2"/>
        <charset val="1"/>
      </rPr>
      <t xml:space="preserve">÷8</t>
    </r>
    <r>
      <rPr>
        <sz val="11"/>
        <color theme="1"/>
        <rFont val="Noto Sans CJK KR"/>
        <family val="2"/>
      </rPr>
      <t xml:space="preserve">유형</t>
    </r>
  </si>
  <si>
    <r>
      <rPr>
        <sz val="11"/>
        <color theme="1"/>
        <rFont val="Noto Sans CJK KR"/>
        <family val="2"/>
      </rPr>
      <t xml:space="preserve">유형별 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구매 수</t>
    </r>
  </si>
  <si>
    <r>
      <rPr>
        <sz val="11"/>
        <color theme="1"/>
        <rFont val="Noto Sans CJK KR"/>
        <family val="2"/>
      </rPr>
      <t xml:space="preserve">이메일→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전환</t>
    </r>
  </si>
  <si>
    <r>
      <rPr>
        <sz val="11"/>
        <color theme="1"/>
        <rFont val="Noto Sans CJK KR"/>
        <family val="2"/>
      </rPr>
      <t xml:space="preserve">유형별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구매 수</t>
    </r>
  </si>
  <si>
    <r>
      <rPr>
        <sz val="11"/>
        <color theme="1"/>
        <rFont val="Calibri"/>
        <family val="2"/>
        <charset val="1"/>
      </rPr>
      <t xml:space="preserve">T1→T2 </t>
    </r>
    <r>
      <rPr>
        <sz val="11"/>
        <color theme="1"/>
        <rFont val="Noto Sans CJK KR"/>
        <family val="2"/>
      </rPr>
      <t xml:space="preserve">업셀</t>
    </r>
  </si>
  <si>
    <r>
      <rPr>
        <sz val="11"/>
        <color theme="1"/>
        <rFont val="Noto Sans CJK KR"/>
        <family val="2"/>
      </rPr>
      <t xml:space="preserve">유형별 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구매 수</t>
    </r>
  </si>
  <si>
    <r>
      <rPr>
        <sz val="11"/>
        <color theme="1"/>
        <rFont val="Calibri"/>
        <family val="2"/>
        <charset val="1"/>
      </rPr>
      <t xml:space="preserve">T2→T3 </t>
    </r>
    <r>
      <rPr>
        <sz val="11"/>
        <color theme="1"/>
        <rFont val="Noto Sans CJK KR"/>
        <family val="2"/>
      </rPr>
      <t xml:space="preserve">업셀</t>
    </r>
  </si>
  <si>
    <r>
      <rPr>
        <b val="true"/>
        <sz val="11"/>
        <color rgb="FF1F4E79"/>
        <rFont val="Noto Sans CJK KR"/>
        <family val="2"/>
      </rPr>
      <t xml:space="preserve">⑥ 건당 수익 구조 </t>
    </r>
    <r>
      <rPr>
        <b val="true"/>
        <sz val="11"/>
        <color rgb="FF1F4E79"/>
        <rFont val="Cambria"/>
        <family val="0"/>
        <charset val="1"/>
      </rPr>
      <t xml:space="preserve">(</t>
    </r>
    <r>
      <rPr>
        <b val="true"/>
        <sz val="11"/>
        <color rgb="FF1F4E79"/>
        <rFont val="Noto Sans CJK KR"/>
        <family val="2"/>
      </rPr>
      <t xml:space="preserve">자동계산 </t>
    </r>
    <r>
      <rPr>
        <b val="true"/>
        <sz val="11"/>
        <color rgb="FF1F4E79"/>
        <rFont val="Cambria"/>
        <family val="0"/>
        <charset val="1"/>
      </rPr>
      <t xml:space="preserve">· </t>
    </r>
    <r>
      <rPr>
        <b val="true"/>
        <sz val="11"/>
        <color rgb="FF1F4E79"/>
        <rFont val="Noto Sans CJK KR"/>
        <family val="2"/>
      </rPr>
      <t xml:space="preserve">참조용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</si>
  <si>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</si>
  <si>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$15×(1-20%) = $12.00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</si>
  <si>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</si>
  <si>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$24×(1-9.9%)-$0.50 = $21.12</t>
  </si>
  <si>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</si>
  <si>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$29×(1-9.9%)-$0.50 = $25.63</t>
  </si>
  <si>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</si>
  <si>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t xml:space="preserve">$12.00×70% = $8.40</t>
  </si>
  <si>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</si>
  <si>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t xml:space="preserve">$21.12×50% = $10.56</t>
  </si>
  <si>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</si>
  <si>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t xml:space="preserve">$25.63×50% = $12.81</t>
  </si>
  <si>
    <r>
      <rPr>
        <sz val="11"/>
        <color theme="1"/>
        <rFont val="Noto Sans CJK KR"/>
        <family val="2"/>
      </rPr>
      <t xml:space="preserve">민철님 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</si>
  <si>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t xml:space="preserve">$12.00×30% = $3.60</t>
  </si>
  <si>
    <r>
      <rPr>
        <sz val="11"/>
        <color theme="1"/>
        <rFont val="Noto Sans CJK KR"/>
        <family val="2"/>
      </rPr>
      <t xml:space="preserve">민철님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</si>
  <si>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Noto Sans CJK KR"/>
        <family val="2"/>
      </rPr>
      <t xml:space="preserve">민철님 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</si>
  <si>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r>
      <rPr>
        <b val="true"/>
        <sz val="11"/>
        <color rgb="FF375623"/>
        <rFont val="Noto Sans CJK KR"/>
        <family val="2"/>
      </rPr>
      <t xml:space="preserve">💡 전략 요약</t>
    </r>
    <r>
      <rPr>
        <b val="true"/>
        <sz val="11"/>
        <color rgb="FF375623"/>
        <rFont val="Cambria"/>
        <family val="0"/>
        <charset val="1"/>
      </rPr>
      <t xml:space="preserve">: T1 70% </t>
    </r>
    <r>
      <rPr>
        <b val="true"/>
        <sz val="11"/>
        <color rgb="FF375623"/>
        <rFont val="Noto Sans CJK KR"/>
        <family val="2"/>
      </rPr>
      <t xml:space="preserve">제휴로 바이럴 점화 → 이메일 리스트 확보 → </t>
    </r>
    <r>
      <rPr>
        <b val="true"/>
        <sz val="11"/>
        <color rgb="FF375623"/>
        <rFont val="Cambria"/>
        <family val="0"/>
        <charset val="1"/>
      </rPr>
      <t xml:space="preserve">T2/T3 </t>
    </r>
    <r>
      <rPr>
        <b val="true"/>
        <sz val="11"/>
        <color rgb="FF375623"/>
        <rFont val="Noto Sans CJK KR"/>
        <family val="2"/>
      </rPr>
      <t xml:space="preserve">직접 업셀로 민철님 수익 극대화</t>
    </r>
  </si>
  <si>
    <r>
      <rPr>
        <b val="true"/>
        <sz val="11"/>
        <color rgb="FFFFFFFF"/>
        <rFont val="Noto Sans CJK KR"/>
        <family val="2"/>
      </rPr>
      <t xml:space="preserve">📈 월별 성장 시뮬레이션 — </t>
    </r>
    <r>
      <rPr>
        <b val="true"/>
        <sz val="11"/>
        <color rgb="FFFFFFFF"/>
        <rFont val="Cambria"/>
        <family val="0"/>
        <charset val="1"/>
      </rPr>
      <t xml:space="preserve">8</t>
    </r>
    <r>
      <rPr>
        <b val="true"/>
        <sz val="11"/>
        <color rgb="FFFFFFFF"/>
        <rFont val="Noto Sans CJK KR"/>
        <family val="2"/>
      </rPr>
      <t xml:space="preserve">유형 완전판 </t>
    </r>
    <r>
      <rPr>
        <b val="true"/>
        <sz val="11"/>
        <color rgb="FFFFFFFF"/>
        <rFont val="Cambria"/>
        <family val="0"/>
        <charset val="1"/>
      </rPr>
      <t xml:space="preserve">(M1~M12) · </t>
    </r>
    <r>
      <rPr>
        <b val="true"/>
        <sz val="11"/>
        <color rgb="FFFFFFFF"/>
        <rFont val="Noto Sans CJK KR"/>
        <family val="2"/>
      </rPr>
      <t xml:space="preserve">제휴 중심 전략</t>
    </r>
  </si>
  <si>
    <r>
      <rPr>
        <sz val="11"/>
        <color theme="1"/>
        <rFont val="Noto Sans CJK KR"/>
        <family val="2"/>
      </rPr>
      <t xml:space="preserve">기준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KR"/>
        <family val="2"/>
      </rPr>
      <t xml:space="preserve">가정값 시트 전환율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KR"/>
        <family val="2"/>
      </rPr>
      <t xml:space="preserve">월별 바이럴 성장률 복리 </t>
    </r>
    <r>
      <rPr>
        <sz val="11"/>
        <color theme="1"/>
        <rFont val="Calibri"/>
        <family val="2"/>
        <charset val="1"/>
      </rPr>
      <t xml:space="preserve">· T1 </t>
    </r>
    <r>
      <rPr>
        <sz val="11"/>
        <color theme="1"/>
        <rFont val="Noto Sans CJK KR"/>
        <family val="2"/>
      </rPr>
      <t xml:space="preserve">제휴 </t>
    </r>
    <r>
      <rPr>
        <sz val="11"/>
        <color theme="1"/>
        <rFont val="Calibri"/>
        <family val="2"/>
        <charset val="1"/>
      </rPr>
      <t xml:space="preserve">80% / T2 30% / T3 10%</t>
    </r>
  </si>
  <si>
    <t xml:space="preserve">항목</t>
  </si>
  <si>
    <t xml:space="preserve">설명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</si>
  <si>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</si>
  <si>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</si>
  <si>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</si>
  <si>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</si>
  <si>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</si>
  <si>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</si>
  <si>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</si>
  <si>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</si>
  <si>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</si>
  <si>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</si>
  <si>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</si>
  <si>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</si>
  <si>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📊 퍼널 수량 흐름</t>
  </si>
  <si>
    <t xml:space="preserve">진단 완료 수</t>
  </si>
  <si>
    <t xml:space="preserve">↑ 성장</t>
  </si>
  <si>
    <t xml:space="preserve">이메일 수집 수</t>
  </si>
  <si>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KR"/>
        <family val="2"/>
      </rPr>
      <t xml:space="preserve">이메일율</t>
    </r>
  </si>
  <si>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구매 수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 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</si>
  <si>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×T1</t>
    </r>
    <r>
      <rPr>
        <sz val="11"/>
        <color theme="1"/>
        <rFont val="Noto Sans CJK KR"/>
        <family val="2"/>
      </rPr>
      <t xml:space="preserve">전환</t>
    </r>
    <r>
      <rPr>
        <sz val="11"/>
        <color theme="1"/>
        <rFont val="Calibri"/>
        <family val="2"/>
        <charset val="1"/>
      </rPr>
      <t xml:space="preserve">×8</t>
    </r>
  </si>
  <si>
    <r>
      <rPr>
        <sz val="11"/>
        <color theme="1"/>
        <rFont val="Calibri"/>
        <family val="2"/>
        <charset val="1"/>
      </rPr>
      <t xml:space="preserve">Tier2 </t>
    </r>
    <r>
      <rPr>
        <sz val="11"/>
        <color theme="1"/>
        <rFont val="Noto Sans CJK KR"/>
        <family val="2"/>
      </rPr>
      <t xml:space="preserve">구매 수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 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</si>
  <si>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×T2</t>
    </r>
    <r>
      <rPr>
        <sz val="11"/>
        <color theme="1"/>
        <rFont val="Noto Sans CJK KR"/>
        <family val="2"/>
      </rPr>
      <t xml:space="preserve">업셀</t>
    </r>
  </si>
  <si>
    <r>
      <rPr>
        <sz val="11"/>
        <color theme="1"/>
        <rFont val="Calibri"/>
        <family val="2"/>
        <charset val="1"/>
      </rPr>
      <t xml:space="preserve">Tier3 </t>
    </r>
    <r>
      <rPr>
        <sz val="11"/>
        <color theme="1"/>
        <rFont val="Noto Sans CJK KR"/>
        <family val="2"/>
      </rPr>
      <t xml:space="preserve">구매 수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 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</si>
  <si>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×T3</t>
    </r>
    <r>
      <rPr>
        <sz val="11"/>
        <color theme="1"/>
        <rFont val="Noto Sans CJK KR"/>
        <family val="2"/>
      </rPr>
      <t xml:space="preserve">업셀</t>
    </r>
  </si>
  <si>
    <r>
      <rPr>
        <b val="true"/>
        <sz val="11"/>
        <color rgb="FF1F4E79"/>
        <rFont val="Noto Sans CJK KR"/>
        <family val="2"/>
      </rPr>
      <t xml:space="preserve">💰 매출 흐름 </t>
    </r>
    <r>
      <rPr>
        <b val="true"/>
        <sz val="11"/>
        <color rgb="FF1F4E79"/>
        <rFont val="Cambria"/>
        <family val="0"/>
        <charset val="1"/>
      </rPr>
      <t xml:space="preserve">(Gross → </t>
    </r>
    <r>
      <rPr>
        <b val="true"/>
        <sz val="11"/>
        <color rgb="FF1F4E79"/>
        <rFont val="Noto Sans CJK KR"/>
        <family val="2"/>
      </rPr>
      <t xml:space="preserve">차감 → 순수익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</si>
  <si>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(Gross)</t>
    </r>
  </si>
  <si>
    <r>
      <rPr>
        <sz val="11"/>
        <color theme="1"/>
        <rFont val="Calibri"/>
        <family val="2"/>
        <charset val="1"/>
      </rPr>
      <t xml:space="preserve">Tier2 </t>
    </r>
    <r>
      <rPr>
        <sz val="11"/>
        <color theme="1"/>
        <rFont val="Noto Sans CJK KR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(Gross)</t>
    </r>
  </si>
  <si>
    <r>
      <rPr>
        <sz val="11"/>
        <color theme="1"/>
        <rFont val="Calibri"/>
        <family val="2"/>
        <charset val="1"/>
      </rPr>
      <t xml:space="preserve">Tier3 </t>
    </r>
    <r>
      <rPr>
        <sz val="11"/>
        <color theme="1"/>
        <rFont val="Noto Sans CJK KR"/>
        <family val="2"/>
      </rPr>
      <t xml:space="preserve">매출 </t>
    </r>
    <r>
      <rPr>
        <sz val="11"/>
        <color theme="1"/>
        <rFont val="Calibri"/>
        <family val="2"/>
        <charset val="1"/>
      </rPr>
      <t xml:space="preserve">(Gross)</t>
    </r>
  </si>
  <si>
    <r>
      <rPr>
        <b val="true"/>
        <sz val="11"/>
        <rFont val="Noto Sans CJK KR"/>
        <family val="2"/>
      </rPr>
      <t xml:space="preserve">총 매출 </t>
    </r>
    <r>
      <rPr>
        <b val="true"/>
        <sz val="11"/>
        <rFont val="Cambria"/>
        <family val="0"/>
        <charset val="1"/>
      </rPr>
      <t xml:space="preserve">(Gross)</t>
    </r>
  </si>
  <si>
    <r>
      <rPr>
        <sz val="11"/>
        <color theme="1"/>
        <rFont val="Noto Sans CJK KR"/>
        <family val="2"/>
      </rPr>
      <t xml:space="preserve">  차감</t>
    </r>
    <r>
      <rPr>
        <sz val="11"/>
        <color theme="1"/>
        <rFont val="Calibri"/>
        <family val="2"/>
        <charset val="1"/>
      </rPr>
      <t xml:space="preserve">: Hotmart </t>
    </r>
    <r>
      <rPr>
        <sz val="11"/>
        <color theme="1"/>
        <rFont val="Noto Sans CJK KR"/>
        <family val="2"/>
      </rPr>
      <t xml:space="preserve">수수료 </t>
    </r>
    <r>
      <rPr>
        <sz val="11"/>
        <color theme="1"/>
        <rFont val="Calibri"/>
        <family val="2"/>
        <charset val="1"/>
      </rPr>
      <t xml:space="preserve">(T1:20% · T2/T3:9.9%+$0.50/</t>
    </r>
    <r>
      <rPr>
        <sz val="11"/>
        <color theme="1"/>
        <rFont val="Noto Sans CJK KR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</si>
  <si>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  차감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KR"/>
        <family val="2"/>
      </rPr>
      <t xml:space="preserve">제휴 커미션 </t>
    </r>
    <r>
      <rPr>
        <sz val="11"/>
        <color theme="1"/>
        <rFont val="Calibri"/>
        <family val="2"/>
        <charset val="1"/>
      </rPr>
      <t xml:space="preserve">(T1:70%×80% · T2:50%×30% · T3:50%×10%)</t>
    </r>
  </si>
  <si>
    <t xml:space="preserve">▶ 월 순 수익</t>
  </si>
  <si>
    <t xml:space="preserve">누적 순 수익</t>
  </si>
  <si>
    <t xml:space="preserve">📋 연간 합계</t>
  </si>
  <si>
    <t xml:space="preserve">연간 총 매출</t>
  </si>
  <si>
    <t xml:space="preserve">연간 순 수익</t>
  </si>
  <si>
    <r>
      <rPr>
        <sz val="11"/>
        <color theme="1"/>
        <rFont val="Noto Sans CJK KR"/>
        <family val="2"/>
      </rPr>
      <t xml:space="preserve">연간 순 수익 </t>
    </r>
    <r>
      <rPr>
        <sz val="11"/>
        <color theme="1"/>
        <rFont val="Calibri"/>
        <family val="2"/>
        <charset val="1"/>
      </rPr>
      <t xml:space="preserve">(₩)</t>
    </r>
  </si>
  <si>
    <r>
      <rPr>
        <b val="true"/>
        <sz val="11"/>
        <color rgb="FFFFFFFF"/>
        <rFont val="Noto Sans CJK KR"/>
        <family val="2"/>
      </rPr>
      <t xml:space="preserve">🎯 시나리오 비교 — 보수적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기본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낙관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드림  </t>
    </r>
    <r>
      <rPr>
        <b val="true"/>
        <sz val="11"/>
        <color rgb="FFFFFFFF"/>
        <rFont val="Cambria"/>
        <family val="0"/>
        <charset val="1"/>
      </rPr>
      <t xml:space="preserve">(8</t>
    </r>
    <r>
      <rPr>
        <b val="true"/>
        <sz val="11"/>
        <color rgb="FFFFFFFF"/>
        <rFont val="Noto Sans CJK KR"/>
        <family val="2"/>
      </rPr>
      <t xml:space="preserve">유형 완전판 </t>
    </r>
    <r>
      <rPr>
        <b val="true"/>
        <sz val="11"/>
        <color rgb="FFFFFFFF"/>
        <rFont val="Cambria"/>
        <family val="0"/>
        <charset val="1"/>
      </rPr>
      <t xml:space="preserve">· </t>
    </r>
    <r>
      <rPr>
        <b val="true"/>
        <sz val="11"/>
        <color rgb="FFFFFFFF"/>
        <rFont val="Noto Sans CJK KR"/>
        <family val="2"/>
      </rPr>
      <t xml:space="preserve">제휴 중심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</si>
  <si>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M12(12</t>
    </r>
    <r>
      <rPr>
        <sz val="11"/>
        <color theme="1"/>
        <rFont val="Noto Sans CJK KR"/>
        <family val="2"/>
      </rPr>
      <t xml:space="preserve">개월 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KR"/>
        <family val="2"/>
      </rPr>
      <t xml:space="preserve">월 순 수익 기준 </t>
    </r>
    <r>
      <rPr>
        <sz val="11"/>
        <color theme="1"/>
        <rFont val="Calibri"/>
        <family val="2"/>
        <charset val="1"/>
      </rPr>
      <t xml:space="preserve">· T1 </t>
    </r>
    <r>
      <rPr>
        <sz val="11"/>
        <color theme="1"/>
        <rFont val="Noto Sans CJK KR"/>
        <family val="2"/>
      </rPr>
      <t xml:space="preserve">제휴 비중 높을수록 바이럴 극대화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KR"/>
        <family val="2"/>
      </rPr>
      <t xml:space="preserve">파란색 셀 직접 수정 가능</t>
    </r>
  </si>
  <si>
    <t xml:space="preserve">가정 항목</t>
  </si>
  <si>
    <t xml:space="preserve">보수적 😐</t>
  </si>
  <si>
    <t xml:space="preserve">기본 🙂</t>
  </si>
  <si>
    <t xml:space="preserve">낙관 😊</t>
  </si>
  <si>
    <t xml:space="preserve">드림 🚀</t>
  </si>
  <si>
    <r>
      <rPr>
        <b val="true"/>
        <sz val="11"/>
        <color rgb="FF1F4E79"/>
        <rFont val="Noto Sans CJK KR"/>
        <family val="2"/>
      </rPr>
      <t xml:space="preserve">📥 입력 가정 </t>
    </r>
    <r>
      <rPr>
        <b val="true"/>
        <sz val="11"/>
        <color rgb="FF1F4E79"/>
        <rFont val="Cambria"/>
        <family val="0"/>
        <charset val="1"/>
      </rPr>
      <t xml:space="preserve">(</t>
    </r>
    <r>
      <rPr>
        <b val="true"/>
        <sz val="11"/>
        <color rgb="FF1F4E79"/>
        <rFont val="Noto Sans CJK KR"/>
        <family val="2"/>
      </rPr>
      <t xml:space="preserve">파란색 직접 수정</t>
    </r>
    <r>
      <rPr>
        <b val="true"/>
        <sz val="11"/>
        <color rgb="FF1F4E79"/>
        <rFont val="Cambria"/>
        <family val="0"/>
        <charset val="1"/>
      </rPr>
      <t xml:space="preserve">)</t>
    </r>
  </si>
  <si>
    <t xml:space="preserve">월 진단 완료 수</t>
  </si>
  <si>
    <t xml:space="preserve">이메일 입력률</t>
  </si>
  <si>
    <r>
      <rPr>
        <sz val="11"/>
        <color theme="1"/>
        <rFont val="Noto Sans CJK KR"/>
        <family val="2"/>
      </rPr>
      <t xml:space="preserve">무료개요→</t>
    </r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전환율</t>
    </r>
  </si>
  <si>
    <r>
      <rPr>
        <sz val="11"/>
        <color theme="1"/>
        <rFont val="Calibri"/>
        <family val="2"/>
        <charset val="1"/>
      </rPr>
      <t xml:space="preserve">Tier1→Tier2 </t>
    </r>
    <r>
      <rPr>
        <sz val="11"/>
        <color theme="1"/>
        <rFont val="Noto Sans CJK KR"/>
        <family val="2"/>
      </rPr>
      <t xml:space="preserve">업셀율</t>
    </r>
  </si>
  <si>
    <r>
      <rPr>
        <sz val="11"/>
        <color theme="1"/>
        <rFont val="Calibri"/>
        <family val="2"/>
        <charset val="1"/>
      </rPr>
      <t xml:space="preserve">Tier2→Tier3 </t>
    </r>
    <r>
      <rPr>
        <sz val="11"/>
        <color theme="1"/>
        <rFont val="Noto Sans CJK KR"/>
        <family val="2"/>
      </rPr>
      <t xml:space="preserve">업셀율</t>
    </r>
  </si>
  <si>
    <t xml:space="preserve">월 성장률</t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</si>
  <si>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제휴 경유 비중</t>
    </r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</si>
  <si>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제휴 경유 비중</t>
    </r>
  </si>
  <si>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제휴 경유 비중</t>
    </r>
  </si>
  <si>
    <r>
      <rPr>
        <b val="true"/>
        <sz val="11"/>
        <color rgb="FF1F4E79"/>
        <rFont val="Cambria"/>
        <family val="0"/>
        <charset val="1"/>
      </rPr>
      <t xml:space="preserve">📊 M12 </t>
    </r>
    <r>
      <rPr>
        <b val="true"/>
        <sz val="11"/>
        <color rgb="FF1F4E79"/>
        <rFont val="Noto Sans CJK KR"/>
        <family val="2"/>
      </rPr>
      <t xml:space="preserve">월 순 수익 계산 </t>
    </r>
    <r>
      <rPr>
        <b val="true"/>
        <sz val="11"/>
        <color rgb="FF1F4E79"/>
        <rFont val="Cambria"/>
        <family val="0"/>
        <charset val="1"/>
      </rPr>
      <t xml:space="preserve">(12</t>
    </r>
    <r>
      <rPr>
        <b val="true"/>
        <sz val="11"/>
        <color rgb="FF1F4E79"/>
        <rFont val="Noto Sans CJK KR"/>
        <family val="2"/>
      </rPr>
      <t xml:space="preserve">개월 후 </t>
    </r>
    <r>
      <rPr>
        <b val="true"/>
        <sz val="11"/>
        <color rgb="FF1F4E79"/>
        <rFont val="Cambria"/>
        <family val="0"/>
        <charset val="1"/>
      </rPr>
      <t xml:space="preserve">· </t>
    </r>
    <r>
      <rPr>
        <b val="true"/>
        <sz val="11"/>
        <color rgb="FF1F4E79"/>
        <rFont val="Noto Sans CJK KR"/>
        <family val="2"/>
      </rPr>
      <t xml:space="preserve">성장률 복리 적용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</si>
  <si>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진단 수 </t>
    </r>
    <r>
      <rPr>
        <sz val="11"/>
        <color theme="1"/>
        <rFont val="Calibri"/>
        <family val="2"/>
        <charset val="1"/>
      </rPr>
      <t xml:space="preserve">(M12)</t>
    </r>
  </si>
  <si>
    <r>
      <rPr>
        <sz val="11"/>
        <color theme="1"/>
        <rFont val="Noto Sans CJK KR"/>
        <family val="2"/>
      </rPr>
      <t xml:space="preserve">이메일 수집 </t>
    </r>
    <r>
      <rPr>
        <sz val="11"/>
        <color theme="1"/>
        <rFont val="Calibri"/>
        <family val="2"/>
        <charset val="1"/>
      </rPr>
      <t xml:space="preserve">(M12)</t>
    </r>
  </si>
  <si>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구매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</si>
  <si>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Tier2 </t>
    </r>
    <r>
      <rPr>
        <sz val="11"/>
        <color theme="1"/>
        <rFont val="Noto Sans CJK KR"/>
        <family val="2"/>
      </rPr>
      <t xml:space="preserve">구매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</si>
  <si>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Tier3 </t>
    </r>
    <r>
      <rPr>
        <sz val="11"/>
        <color theme="1"/>
        <rFont val="Noto Sans CJK KR"/>
        <family val="2"/>
      </rPr>
      <t xml:space="preserve">구매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</si>
  <si>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Tier1 </t>
    </r>
    <r>
      <rPr>
        <sz val="11"/>
        <color theme="1"/>
        <rFont val="Noto Sans CJK KR"/>
        <family val="2"/>
      </rPr>
      <t xml:space="preserve">매출</t>
    </r>
  </si>
  <si>
    <r>
      <rPr>
        <sz val="11"/>
        <color theme="1"/>
        <rFont val="Calibri"/>
        <family val="2"/>
        <charset val="1"/>
      </rPr>
      <t xml:space="preserve">Tier2 </t>
    </r>
    <r>
      <rPr>
        <sz val="11"/>
        <color theme="1"/>
        <rFont val="Noto Sans CJK KR"/>
        <family val="2"/>
      </rPr>
      <t xml:space="preserve">매출</t>
    </r>
  </si>
  <si>
    <r>
      <rPr>
        <sz val="11"/>
        <color theme="1"/>
        <rFont val="Calibri"/>
        <family val="2"/>
        <charset val="1"/>
      </rPr>
      <t xml:space="preserve">Tier3 </t>
    </r>
    <r>
      <rPr>
        <sz val="11"/>
        <color theme="1"/>
        <rFont val="Noto Sans CJK KR"/>
        <family val="2"/>
      </rPr>
      <t xml:space="preserve">매출</t>
    </r>
  </si>
  <si>
    <r>
      <rPr>
        <b val="true"/>
        <sz val="11"/>
        <rFont val="Noto Sans CJK KR"/>
        <family val="2"/>
      </rPr>
      <t xml:space="preserve">총 매출 </t>
    </r>
    <r>
      <rPr>
        <b val="true"/>
        <sz val="11"/>
        <rFont val="Cambria"/>
        <family val="0"/>
        <charset val="1"/>
      </rPr>
      <t xml:space="preserve">Gross</t>
    </r>
  </si>
  <si>
    <r>
      <rPr>
        <sz val="11"/>
        <color theme="1"/>
        <rFont val="Noto Sans CJK KR"/>
        <family val="2"/>
      </rPr>
      <t xml:space="preserve">  차감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KR"/>
        <family val="2"/>
      </rPr>
      <t xml:space="preserve">제휴 커미션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순액 기준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KR"/>
        <family val="2"/>
      </rPr>
      <t xml:space="preserve">티어별 비중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</si>
  <si>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Noto Sans CJK KR"/>
        <family val="2"/>
      </rPr>
      <t xml:space="preserve">▶ 월 순 수익 </t>
    </r>
    <r>
      <rPr>
        <b val="true"/>
        <sz val="11"/>
        <rFont val="Cambria"/>
        <family val="0"/>
        <charset val="1"/>
      </rPr>
      <t xml:space="preserve">(M12)</t>
    </r>
  </si>
  <si>
    <t xml:space="preserve">★ 연간 순 수익</t>
  </si>
  <si>
    <r>
      <rPr>
        <b val="true"/>
        <sz val="11"/>
        <color rgb="FF1F4E79"/>
        <rFont val="Noto Sans CJK KR"/>
        <family val="2"/>
      </rPr>
      <t xml:space="preserve">💰 원화 환산 </t>
    </r>
    <r>
      <rPr>
        <b val="true"/>
        <sz val="11"/>
        <color rgb="FF1F4E79"/>
        <rFont val="Cambria"/>
        <family val="0"/>
        <charset val="1"/>
      </rPr>
      <t xml:space="preserve">(₩1,400/$1)</t>
    </r>
  </si>
  <si>
    <r>
      <rPr>
        <sz val="11"/>
        <color theme="1"/>
        <rFont val="Noto Sans CJK KR"/>
        <family val="2"/>
      </rPr>
      <t xml:space="preserve">월 순 수익 </t>
    </r>
    <r>
      <rPr>
        <sz val="11"/>
        <color theme="1"/>
        <rFont val="Calibri"/>
        <family val="2"/>
        <charset val="1"/>
      </rPr>
      <t xml:space="preserve">(₩)</t>
    </r>
  </si>
  <si>
    <t xml:space="preserve">⚡ 전략 인사이트</t>
  </si>
  <si>
    <r>
      <rPr>
        <sz val="11"/>
        <color theme="1"/>
        <rFont val="Calibri"/>
        <family val="2"/>
        <charset val="1"/>
      </rPr>
      <t xml:space="preserve">✅ T1 </t>
    </r>
    <r>
      <rPr>
        <sz val="11"/>
        <color theme="1"/>
        <rFont val="Noto Sans CJK KR"/>
        <family val="2"/>
      </rPr>
      <t xml:space="preserve">제휴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KR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KR"/>
        <family val="2"/>
      </rPr>
      <t xml:space="preserve">미끼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KR"/>
        <family val="2"/>
      </rPr>
      <t xml:space="preserve">가 아니라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KR"/>
        <family val="2"/>
      </rPr>
      <t xml:space="preserve">엔진</t>
    </r>
    <r>
      <rPr>
        <sz val="11"/>
        <color theme="1"/>
        <rFont val="Calibri"/>
        <family val="2"/>
        <charset val="1"/>
      </rPr>
      <t xml:space="preserve">' — </t>
    </r>
    <r>
      <rPr>
        <sz val="11"/>
        <color theme="1"/>
        <rFont val="Noto Sans CJK KR"/>
        <family val="2"/>
      </rPr>
      <t xml:space="preserve">제휴사 </t>
    </r>
    <r>
      <rPr>
        <sz val="11"/>
        <color theme="1"/>
        <rFont val="Calibri"/>
        <family val="2"/>
        <charset val="1"/>
      </rPr>
      <t xml:space="preserve">$8.40/</t>
    </r>
    <r>
      <rPr>
        <sz val="11"/>
        <color theme="1"/>
        <rFont val="Noto Sans CJK KR"/>
        <family val="2"/>
      </rPr>
      <t xml:space="preserve">건에 눈 돌아가서 미친 듯 홍보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KR"/>
        <family val="2"/>
      </rPr>
      <t xml:space="preserve">무료진단 바이럴 자동화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</si>
  <si>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✅ T1 </t>
    </r>
    <r>
      <rPr>
        <sz val="11"/>
        <color theme="1"/>
        <rFont val="Noto Sans CJK KR"/>
        <family val="2"/>
      </rPr>
      <t xml:space="preserve">구매자 → 이메일 수집 완료 → </t>
    </r>
    <r>
      <rPr>
        <sz val="11"/>
        <color theme="1"/>
        <rFont val="Calibri"/>
        <family val="2"/>
        <charset val="1"/>
      </rPr>
      <t xml:space="preserve">T2/T3</t>
    </r>
    <r>
      <rPr>
        <sz val="11"/>
        <color theme="1"/>
        <rFont val="Noto Sans CJK KR"/>
        <family val="2"/>
      </rPr>
      <t xml:space="preserve">는 직접 업셀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KR"/>
        <family val="2"/>
      </rPr>
      <t xml:space="preserve">제휴 비중 </t>
    </r>
    <r>
      <rPr>
        <sz val="11"/>
        <color theme="1"/>
        <rFont val="Calibri"/>
        <family val="2"/>
        <charset val="1"/>
      </rPr>
      <t xml:space="preserve">T1:80% → T3:10%</t>
    </r>
    <r>
      <rPr>
        <sz val="11"/>
        <color theme="1"/>
        <rFont val="Noto Sans CJK KR"/>
        <family val="2"/>
      </rPr>
      <t xml:space="preserve">로 역전 → 민철님 수익 구조 탄탄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</si>
  <si>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KR"/>
        <family val="2"/>
      </rPr>
      <t xml:space="preserve">✅ 보수적도 연 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KR"/>
        <family val="2"/>
      </rPr>
      <t xml:space="preserve">억</t>
    </r>
    <r>
      <rPr>
        <sz val="11"/>
        <color theme="1"/>
        <rFont val="Calibri"/>
        <family val="2"/>
        <charset val="1"/>
      </rPr>
      <t xml:space="preserve">+. </t>
    </r>
    <r>
      <rPr>
        <sz val="11"/>
        <color theme="1"/>
        <rFont val="Noto Sans CJK KR"/>
        <family val="2"/>
      </rPr>
      <t xml:space="preserve">기본 시나리오 달성 시 월 순수익 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Noto Sans CJK KR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+. </t>
    </r>
    <r>
      <rPr>
        <sz val="11"/>
        <color theme="1"/>
        <rFont val="Noto Sans CJK KR"/>
        <family val="2"/>
      </rPr>
      <t xml:space="preserve">이건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KR"/>
        <family val="2"/>
      </rPr>
      <t xml:space="preserve">유형 완전판 기준</t>
    </r>
    <r>
      <rPr>
        <sz val="11"/>
        <color theme="1"/>
        <rFont val="Calibri"/>
        <family val="2"/>
        <charset val="1"/>
      </rPr>
      <t xml:space="preserve">, SPARK+VISION 2</t>
    </r>
    <r>
      <rPr>
        <sz val="11"/>
        <color theme="1"/>
        <rFont val="Noto Sans CJK KR"/>
        <family val="2"/>
      </rPr>
      <t xml:space="preserve">유형만으로도 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KR"/>
        <family val="2"/>
      </rPr>
      <t xml:space="preserve">규모 바로 런칭 가능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</si>
  <si>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KR"/>
        <family val="2"/>
      </rPr>
      <t xml:space="preserve">⚠ 드림 시나리오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KR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KR"/>
        <family val="2"/>
      </rPr>
      <t xml:space="preserve">만 명 진단</t>
    </r>
    <r>
      <rPr>
        <sz val="11"/>
        <color theme="1"/>
        <rFont val="Calibri"/>
        <family val="2"/>
        <charset val="1"/>
      </rPr>
      <t xml:space="preserve">) — loveTWO </t>
    </r>
    <r>
      <rPr>
        <sz val="11"/>
        <color theme="1"/>
        <rFont val="Noto Sans CJK KR"/>
        <family val="2"/>
      </rPr>
      <t xml:space="preserve">바이럴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KR"/>
        <family val="2"/>
      </rPr>
      <t xml:space="preserve">스페인어판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KR"/>
        <family val="2"/>
      </rPr>
      <t xml:space="preserve">미국 시장 진출 필요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</si>
  <si>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FFFFFF"/>
        <rFont val="Cambria"/>
        <family val="0"/>
        <charset val="1"/>
      </rPr>
      <t xml:space="preserve">🌟 8</t>
    </r>
    <r>
      <rPr>
        <b val="true"/>
        <sz val="11"/>
        <color rgb="FFFFFFFF"/>
        <rFont val="Noto Sans CJK KR"/>
        <family val="2"/>
      </rPr>
      <t xml:space="preserve">유형 </t>
    </r>
    <r>
      <rPr>
        <b val="true"/>
        <sz val="11"/>
        <color rgb="FFFFFFFF"/>
        <rFont val="Cambria"/>
        <family val="0"/>
        <charset val="1"/>
      </rPr>
      <t xml:space="preserve">× 3</t>
    </r>
    <r>
      <rPr>
        <b val="true"/>
        <sz val="11"/>
        <color rgb="FFFFFFFF"/>
        <rFont val="Noto Sans CJK KR"/>
        <family val="2"/>
      </rPr>
      <t xml:space="preserve">티어 손익 대시보드 — 유형별 월 매출 </t>
    </r>
    <r>
      <rPr>
        <b val="true"/>
        <sz val="11"/>
        <color rgb="FFFFFFFF"/>
        <rFont val="Cambria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순 수익 </t>
    </r>
    <r>
      <rPr>
        <b val="true"/>
        <sz val="11"/>
        <color rgb="FFFFFFFF"/>
        <rFont val="Cambria"/>
        <family val="0"/>
        <charset val="1"/>
      </rPr>
      <t xml:space="preserve">(M1 </t>
    </r>
    <r>
      <rPr>
        <b val="true"/>
        <sz val="11"/>
        <color rgb="FFFFFFFF"/>
        <rFont val="Noto Sans CJK KR"/>
        <family val="2"/>
      </rPr>
      <t xml:space="preserve">기준 </t>
    </r>
    <r>
      <rPr>
        <b val="true"/>
        <sz val="11"/>
        <color rgb="FFFFFFFF"/>
        <rFont val="Cambria"/>
        <family val="0"/>
        <charset val="1"/>
      </rPr>
      <t xml:space="preserve">· </t>
    </r>
    <r>
      <rPr>
        <b val="true"/>
        <sz val="11"/>
        <color rgb="FFFFFFFF"/>
        <rFont val="Noto Sans CJK KR"/>
        <family val="2"/>
      </rPr>
      <t xml:space="preserve">제휴 중심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</si>
  <si>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가정값 시트 전환율 기준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KR"/>
        <family val="2"/>
      </rPr>
      <t xml:space="preserve">각 유형 독립 계산 </t>
    </r>
    <r>
      <rPr>
        <sz val="11"/>
        <color theme="1"/>
        <rFont val="Calibri"/>
        <family val="2"/>
        <charset val="1"/>
      </rPr>
      <t xml:space="preserve">· T1 </t>
    </r>
    <r>
      <rPr>
        <sz val="11"/>
        <color theme="1"/>
        <rFont val="Noto Sans CJK KR"/>
        <family val="2"/>
      </rPr>
      <t xml:space="preserve">제휴 </t>
    </r>
    <r>
      <rPr>
        <sz val="11"/>
        <color theme="1"/>
        <rFont val="Calibri"/>
        <family val="2"/>
        <charset val="1"/>
      </rPr>
      <t xml:space="preserve">80% / T2 30% / T3 10% </t>
    </r>
    <r>
      <rPr>
        <sz val="11"/>
        <color theme="1"/>
        <rFont val="Noto Sans CJK KR"/>
        <family val="2"/>
      </rPr>
      <t xml:space="preserve">반영</t>
    </r>
  </si>
  <si>
    <t xml:space="preserve">유형</t>
  </si>
  <si>
    <r>
      <rPr>
        <b val="true"/>
        <sz val="11"/>
        <color rgb="FFFFFFFF"/>
        <rFont val="Cambria"/>
        <family val="0"/>
        <charset val="1"/>
      </rPr>
      <t xml:space="preserve">T1 </t>
    </r>
    <r>
      <rPr>
        <b val="true"/>
        <sz val="11"/>
        <color rgb="FFFFFFFF"/>
        <rFont val="Noto Sans CJK KR"/>
        <family val="2"/>
      </rPr>
      <t xml:space="preserve">수량</t>
    </r>
  </si>
  <si>
    <r>
      <rPr>
        <b val="true"/>
        <sz val="11"/>
        <color rgb="FFFFFFFF"/>
        <rFont val="Cambria"/>
        <family val="0"/>
        <charset val="1"/>
      </rPr>
      <t xml:space="preserve">T2 </t>
    </r>
    <r>
      <rPr>
        <b val="true"/>
        <sz val="11"/>
        <color rgb="FFFFFFFF"/>
        <rFont val="Noto Sans CJK KR"/>
        <family val="2"/>
      </rPr>
      <t xml:space="preserve">수량</t>
    </r>
  </si>
  <si>
    <r>
      <rPr>
        <b val="true"/>
        <sz val="11"/>
        <color rgb="FFFFFFFF"/>
        <rFont val="Cambria"/>
        <family val="0"/>
        <charset val="1"/>
      </rPr>
      <t xml:space="preserve">T3 </t>
    </r>
    <r>
      <rPr>
        <b val="true"/>
        <sz val="11"/>
        <color rgb="FFFFFFFF"/>
        <rFont val="Noto Sans CJK KR"/>
        <family val="2"/>
      </rPr>
      <t xml:space="preserve">수량</t>
    </r>
  </si>
  <si>
    <r>
      <rPr>
        <b val="true"/>
        <sz val="11"/>
        <color rgb="FFFFFFFF"/>
        <rFont val="Cambria"/>
        <family val="0"/>
        <charset val="1"/>
      </rPr>
      <t xml:space="preserve">T1 </t>
    </r>
    <r>
      <rPr>
        <b val="true"/>
        <sz val="11"/>
        <color rgb="FFFFFFFF"/>
        <rFont val="Noto Sans CJK KR"/>
        <family val="2"/>
      </rPr>
      <t xml:space="preserve">매출</t>
    </r>
  </si>
  <si>
    <r>
      <rPr>
        <b val="true"/>
        <sz val="11"/>
        <color rgb="FFFFFFFF"/>
        <rFont val="Cambria"/>
        <family val="0"/>
        <charset val="1"/>
      </rPr>
      <t xml:space="preserve">T2 </t>
    </r>
    <r>
      <rPr>
        <b val="true"/>
        <sz val="11"/>
        <color rgb="FFFFFFFF"/>
        <rFont val="Noto Sans CJK KR"/>
        <family val="2"/>
      </rPr>
      <t xml:space="preserve">매출</t>
    </r>
  </si>
  <si>
    <r>
      <rPr>
        <b val="true"/>
        <sz val="11"/>
        <color rgb="FFFFFFFF"/>
        <rFont val="Cambria"/>
        <family val="0"/>
        <charset val="1"/>
      </rPr>
      <t xml:space="preserve">T3 </t>
    </r>
    <r>
      <rPr>
        <b val="true"/>
        <sz val="11"/>
        <color rgb="FFFFFFFF"/>
        <rFont val="Noto Sans CJK KR"/>
        <family val="2"/>
      </rPr>
      <t xml:space="preserve">매출</t>
    </r>
  </si>
  <si>
    <r>
      <rPr>
        <b val="true"/>
        <sz val="11"/>
        <color rgb="FFFFFFFF"/>
        <rFont val="Cambria"/>
        <family val="0"/>
        <charset val="1"/>
      </rPr>
      <t xml:space="preserve">Gross </t>
    </r>
    <r>
      <rPr>
        <b val="true"/>
        <sz val="11"/>
        <color rgb="FFFFFFFF"/>
        <rFont val="Noto Sans CJK KR"/>
        <family val="2"/>
      </rPr>
      <t xml:space="preserve">합계</t>
    </r>
  </si>
  <si>
    <r>
      <rPr>
        <b val="true"/>
        <sz val="11"/>
        <color rgb="FFFFFFFF"/>
        <rFont val="Cambria"/>
        <family val="0"/>
        <charset val="1"/>
      </rPr>
      <t xml:space="preserve">Hotmart </t>
    </r>
    <r>
      <rPr>
        <b val="true"/>
        <sz val="11"/>
        <color rgb="FFFFFFFF"/>
        <rFont val="Noto Sans CJK KR"/>
        <family val="2"/>
      </rPr>
      <t xml:space="preserve">차감</t>
    </r>
  </si>
  <si>
    <t xml:space="preserve">제휴 차감</t>
  </si>
  <si>
    <t xml:space="preserve">민철님 수익</t>
  </si>
  <si>
    <r>
      <rPr>
        <b val="true"/>
        <sz val="11"/>
        <color rgb="FFFFFFFF"/>
        <rFont val="Noto Sans CJK KR"/>
        <family val="2"/>
      </rPr>
      <t xml:space="preserve">수익률</t>
    </r>
    <r>
      <rPr>
        <b val="true"/>
        <sz val="11"/>
        <color rgb="FFFFFFFF"/>
        <rFont val="Cambria"/>
        <family val="0"/>
        <charset val="1"/>
      </rPr>
      <t xml:space="preserve">(%)</t>
    </r>
  </si>
  <si>
    <t xml:space="preserve">SPARK</t>
  </si>
  <si>
    <t xml:space="preserve">STEADY</t>
  </si>
  <si>
    <t xml:space="preserve">PLAYER</t>
  </si>
  <si>
    <t xml:space="preserve">VISION</t>
  </si>
  <si>
    <t xml:space="preserve">LOGIC</t>
  </si>
  <si>
    <t xml:space="preserve">HARMONY</t>
  </si>
  <si>
    <t xml:space="preserve">LEADER</t>
  </si>
  <si>
    <t xml:space="preserve">SOUL</t>
  </si>
  <si>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CJK KR"/>
        <family val="2"/>
      </rPr>
      <t xml:space="preserve">유형 합계</t>
    </r>
  </si>
  <si>
    <r>
      <rPr>
        <b val="true"/>
        <sz val="11"/>
        <color rgb="FF1F4E79"/>
        <rFont val="Noto Sans CJK KR"/>
        <family val="2"/>
      </rPr>
      <t xml:space="preserve">💰 민철님 실수령 요약 </t>
    </r>
    <r>
      <rPr>
        <b val="true"/>
        <sz val="11"/>
        <color rgb="FF1F4E79"/>
        <rFont val="Cambria"/>
        <family val="0"/>
        <charset val="1"/>
      </rPr>
      <t xml:space="preserve">(</t>
    </r>
    <r>
      <rPr>
        <b val="true"/>
        <sz val="11"/>
        <color rgb="FF1F4E79"/>
        <rFont val="Noto Sans CJK KR"/>
        <family val="2"/>
      </rPr>
      <t xml:space="preserve">건당 </t>
    </r>
    <r>
      <rPr>
        <b val="true"/>
        <sz val="11"/>
        <color rgb="FF1F4E79"/>
        <rFont val="Cambria"/>
        <family val="0"/>
        <charset val="1"/>
      </rPr>
      <t xml:space="preserve">· M1 </t>
    </r>
    <r>
      <rPr>
        <b val="true"/>
        <sz val="11"/>
        <color rgb="FF1F4E79"/>
        <rFont val="Noto Sans CJK KR"/>
        <family val="2"/>
      </rPr>
      <t xml:space="preserve">기준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</si>
  <si>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</si>
  <si>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</si>
  <si>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직접판매 실수령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KR"/>
        <family val="2"/>
      </rPr>
      <t xml:space="preserve">건</t>
    </r>
  </si>
  <si>
    <r>
      <rPr>
        <sz val="11"/>
        <color theme="1"/>
        <rFont val="Noto Sans CJK KR"/>
        <family val="2"/>
      </rPr>
      <t xml:space="preserve">월 총 민철님 수익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Noto Sans CJK KR"/>
        <family val="2"/>
      </rPr>
      <t xml:space="preserve">유형 합산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</si>
  <si>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KR"/>
        <family val="2"/>
      </rPr>
      <t xml:space="preserve">월 총 민철님 수익 </t>
    </r>
    <r>
      <rPr>
        <sz val="11"/>
        <color theme="1"/>
        <rFont val="Calibri"/>
        <family val="2"/>
        <charset val="1"/>
      </rPr>
      <t xml:space="preserve">(₩)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</si>
</sst>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3"/>
      <color rgb="FFFFFFFF"/>
      <name val="Noto Sans CJK KR"/>
      <family val="2"/>
    </font>
    <font>
      <sz val="11"/>
      <color theme="1"/>
      <name val="Noto Sans CJK KR"/>
      <family val="2"/>
    </font>
    <font>
      <b val="true"/>
      <sz val="11"/>
      <color rgb="FF1F4E79"/>
      <name val="Noto Sans CJK KR"/>
      <family val="2"/>
    </font>
    <font>
      <b val="true"/>
      <sz val="11"/>
      <color rgb="FF1F4E79"/>
      <name val="Cambria"/>
      <family val="0"/>
      <charset val="1"/>
    </font>
    <font>
      <sz val="11"/>
      <color rgb="FF1F4E79"/>
      <name val="Cambria"/>
      <family val="0"/>
      <charset val="1"/>
    </font>
    <font>
      <b val="true"/>
      <sz val="11"/>
      <color rgb="FF375623"/>
      <name val="Noto Sans CJK KR"/>
      <family val="2"/>
    </font>
    <font>
      <b val="true"/>
      <sz val="11"/>
      <color rgb="FF375623"/>
      <name val="Cambria"/>
      <family val="0"/>
      <charset val="1"/>
    </font>
    <font>
      <b val="true"/>
      <sz val="11"/>
      <color rgb="FFFFFFFF"/>
      <name val="Noto Sans CJK KR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Noto Sans CJK KR"/>
      <family val="2"/>
    </font>
    <font>
      <b val="true"/>
      <sz val="11"/>
      <name val="Cambria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D9E1F2"/>
      </patternFill>
    </fill>
    <fill>
      <patternFill patternType="solid">
        <fgColor rgb="FFDDEEFF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ACD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5A5A5A"/>
        <bgColor rgb="FF375623"/>
      </patternFill>
    </fill>
    <fill>
      <patternFill patternType="solid">
        <fgColor rgb="FF375623"/>
        <bgColor rgb="FF5A5A5A"/>
      </patternFill>
    </fill>
    <fill>
      <patternFill patternType="solid">
        <fgColor rgb="FFC55A11"/>
        <bgColor rgb="FF993300"/>
      </patternFill>
    </fill>
    <fill>
      <patternFill patternType="solid">
        <fgColor rgb="FFEBF3FB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9E1F2"/>
      </patternFill>
    </fill>
    <fill>
      <patternFill patternType="solid">
        <fgColor rgb="FFFFF2CC"/>
        <bgColor rgb="FFFFFACD"/>
      </patternFill>
    </fill>
    <fill>
      <patternFill patternType="solid">
        <fgColor rgb="FFDEEBF7"/>
        <bgColor rgb="FFDDEEFF"/>
      </patternFill>
    </fill>
    <fill>
      <patternFill patternType="solid">
        <fgColor rgb="FFF8CBAD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ACD"/>
      <rgbColor rgb="FFDDEEFF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E699"/>
      <rgbColor rgb="FFD6E4F0"/>
      <rgbColor rgb="FFFCE4D6"/>
      <rgbColor rgb="FFEBF3FB"/>
      <rgbColor rgb="FFF8CBAD"/>
      <rgbColor rgb="FF2E75B6"/>
      <rgbColor rgb="FF33CCCC"/>
      <rgbColor rgb="FF99CC00"/>
      <rgbColor rgb="FFFFCC00"/>
      <rgbColor rgb="FFFF9900"/>
      <rgbColor rgb="FFC55A11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7.15" hidden="false" customHeight="false" outlineLevel="0" collapsed="false">
      <c r="A2" s="2" t="s">
        <v>1</v>
      </c>
      <c r="B2" s="2"/>
      <c r="C2" s="2"/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0" t="s">
        <v>3</v>
      </c>
      <c r="B5" s="4" t="n">
        <v>15</v>
      </c>
      <c r="C5" s="0" t="s">
        <v>4</v>
      </c>
    </row>
    <row r="6" customFormat="false" ht="17.15" hidden="false" customHeight="false" outlineLevel="0" collapsed="false">
      <c r="A6" s="0" t="s">
        <v>5</v>
      </c>
      <c r="B6" s="4" t="n">
        <v>24</v>
      </c>
      <c r="C6" s="0" t="s">
        <v>6</v>
      </c>
    </row>
    <row r="7" customFormat="false" ht="17.15" hidden="false" customHeight="false" outlineLevel="0" collapsed="false">
      <c r="A7" s="0" t="s">
        <v>7</v>
      </c>
      <c r="B7" s="4" t="n">
        <v>29</v>
      </c>
      <c r="C7" s="0" t="s">
        <v>8</v>
      </c>
    </row>
    <row r="8" customFormat="false" ht="17.15" hidden="false" customHeight="false" outlineLevel="0" collapsed="false">
      <c r="A8" s="5" t="s">
        <v>9</v>
      </c>
      <c r="B8" s="4" t="n">
        <v>0</v>
      </c>
      <c r="C8" s="0" t="s">
        <v>10</v>
      </c>
    </row>
    <row r="10" customFormat="false" ht="17.15" hidden="false" customHeight="false" outlineLevel="0" collapsed="false">
      <c r="A10" s="6" t="s">
        <v>11</v>
      </c>
    </row>
    <row r="11" customFormat="false" ht="17.15" hidden="false" customHeight="false" outlineLevel="0" collapsed="false">
      <c r="A11" s="5" t="s">
        <v>12</v>
      </c>
      <c r="B11" s="4" t="n">
        <v>5000</v>
      </c>
      <c r="C11" s="5" t="s">
        <v>13</v>
      </c>
    </row>
    <row r="12" customFormat="false" ht="17.15" hidden="false" customHeight="false" outlineLevel="0" collapsed="false">
      <c r="A12" s="5" t="s">
        <v>14</v>
      </c>
      <c r="B12" s="4" t="n">
        <v>0.6</v>
      </c>
      <c r="C12" s="5" t="s">
        <v>15</v>
      </c>
    </row>
    <row r="13" customFormat="false" ht="17.15" hidden="false" customHeight="false" outlineLevel="0" collapsed="false">
      <c r="A13" s="5" t="s">
        <v>16</v>
      </c>
      <c r="B13" s="4" t="n">
        <v>0.08</v>
      </c>
      <c r="C13" s="5" t="s">
        <v>17</v>
      </c>
    </row>
    <row r="14" customFormat="false" ht="17.15" hidden="false" customHeight="false" outlineLevel="0" collapsed="false">
      <c r="A14" s="0" t="s">
        <v>18</v>
      </c>
      <c r="B14" s="4" t="n">
        <v>0.4</v>
      </c>
      <c r="C14" s="0" t="s">
        <v>19</v>
      </c>
    </row>
    <row r="15" customFormat="false" ht="17.15" hidden="false" customHeight="false" outlineLevel="0" collapsed="false">
      <c r="A15" s="0" t="s">
        <v>20</v>
      </c>
      <c r="B15" s="4" t="n">
        <v>0.25</v>
      </c>
      <c r="C15" s="5" t="s">
        <v>21</v>
      </c>
    </row>
    <row r="16" customFormat="false" ht="17.15" hidden="false" customHeight="false" outlineLevel="0" collapsed="false">
      <c r="A16" s="5" t="s">
        <v>22</v>
      </c>
      <c r="B16" s="4" t="n">
        <v>0.2</v>
      </c>
      <c r="C16" s="5" t="s">
        <v>23</v>
      </c>
    </row>
    <row r="18" customFormat="false" ht="17.15" hidden="false" customHeight="false" outlineLevel="0" collapsed="false">
      <c r="A18" s="6" t="s">
        <v>24</v>
      </c>
    </row>
    <row r="19" customFormat="false" ht="17.15" hidden="false" customHeight="false" outlineLevel="0" collapsed="false">
      <c r="A19" s="0" t="s">
        <v>25</v>
      </c>
      <c r="B19" s="4" t="n">
        <v>0.2</v>
      </c>
      <c r="C19" s="0" t="s">
        <v>26</v>
      </c>
    </row>
    <row r="20" customFormat="false" ht="17.15" hidden="false" customHeight="false" outlineLevel="0" collapsed="false">
      <c r="A20" s="0" t="s">
        <v>27</v>
      </c>
      <c r="B20" s="4" t="n">
        <v>0.099</v>
      </c>
      <c r="C20" s="0" t="s">
        <v>28</v>
      </c>
    </row>
    <row r="21" customFormat="false" ht="17.15" hidden="false" customHeight="false" outlineLevel="0" collapsed="false">
      <c r="A21" s="0" t="s">
        <v>29</v>
      </c>
      <c r="B21" s="4" t="n">
        <v>0.099</v>
      </c>
      <c r="C21" s="0" t="s">
        <v>28</v>
      </c>
    </row>
    <row r="22" customFormat="false" ht="17.15" hidden="false" customHeight="false" outlineLevel="0" collapsed="false">
      <c r="A22" s="0" t="s">
        <v>30</v>
      </c>
      <c r="B22" s="4" t="n">
        <v>0.5</v>
      </c>
      <c r="C22" s="0" t="s">
        <v>31</v>
      </c>
    </row>
    <row r="24" customFormat="false" ht="17.15" hidden="false" customHeight="false" outlineLevel="0" collapsed="false">
      <c r="A24" s="3" t="s">
        <v>32</v>
      </c>
    </row>
    <row r="25" customFormat="false" ht="17.15" hidden="false" customHeight="false" outlineLevel="0" collapsed="false">
      <c r="A25" s="5" t="s">
        <v>33</v>
      </c>
      <c r="B25" s="4" t="n">
        <v>0.7</v>
      </c>
      <c r="C25" s="0" t="s">
        <v>34</v>
      </c>
    </row>
    <row r="26" customFormat="false" ht="17.15" hidden="false" customHeight="false" outlineLevel="0" collapsed="false">
      <c r="A26" s="5" t="s">
        <v>35</v>
      </c>
      <c r="B26" s="4" t="n">
        <v>0.5</v>
      </c>
      <c r="C26" s="0" t="s">
        <v>36</v>
      </c>
    </row>
    <row r="27" customFormat="false" ht="17.15" hidden="false" customHeight="false" outlineLevel="0" collapsed="false">
      <c r="A27" s="5" t="s">
        <v>37</v>
      </c>
      <c r="B27" s="4" t="n">
        <v>0.5</v>
      </c>
      <c r="C27" s="0" t="s">
        <v>38</v>
      </c>
    </row>
    <row r="28" customFormat="false" ht="17.15" hidden="false" customHeight="false" outlineLevel="0" collapsed="false">
      <c r="A28" s="5" t="s">
        <v>39</v>
      </c>
      <c r="B28" s="4" t="n">
        <v>0.8</v>
      </c>
      <c r="C28" s="0" t="s">
        <v>40</v>
      </c>
    </row>
    <row r="29" customFormat="false" ht="17.15" hidden="false" customHeight="false" outlineLevel="0" collapsed="false">
      <c r="A29" s="5" t="s">
        <v>41</v>
      </c>
      <c r="B29" s="4" t="n">
        <v>0.3</v>
      </c>
      <c r="C29" s="0" t="s">
        <v>42</v>
      </c>
    </row>
    <row r="30" customFormat="false" ht="17.15" hidden="false" customHeight="false" outlineLevel="0" collapsed="false">
      <c r="A30" s="5" t="s">
        <v>43</v>
      </c>
      <c r="B30" s="4" t="n">
        <v>0.1</v>
      </c>
      <c r="C30" s="0" t="s">
        <v>44</v>
      </c>
    </row>
    <row r="32" customFormat="false" ht="17.15" hidden="false" customHeight="false" outlineLevel="0" collapsed="false">
      <c r="A32" s="3" t="s">
        <v>45</v>
      </c>
    </row>
    <row r="33" customFormat="false" ht="17.15" hidden="false" customHeight="false" outlineLevel="0" collapsed="false">
      <c r="A33" s="5" t="s">
        <v>46</v>
      </c>
      <c r="B33" s="7" t="n">
        <f aca="false">B11*B12/8</f>
        <v>375</v>
      </c>
      <c r="C33" s="5" t="s">
        <v>47</v>
      </c>
    </row>
    <row r="34" customFormat="false" ht="17.15" hidden="false" customHeight="false" outlineLevel="0" collapsed="false">
      <c r="A34" s="5" t="s">
        <v>48</v>
      </c>
      <c r="B34" s="7" t="n">
        <f aca="false">B33*B13</f>
        <v>30</v>
      </c>
      <c r="C34" s="5" t="s">
        <v>49</v>
      </c>
    </row>
    <row r="35" customFormat="false" ht="17.15" hidden="false" customHeight="false" outlineLevel="0" collapsed="false">
      <c r="A35" s="5" t="s">
        <v>50</v>
      </c>
      <c r="B35" s="7" t="n">
        <f aca="false">B34*B14</f>
        <v>12</v>
      </c>
      <c r="C35" s="0" t="s">
        <v>51</v>
      </c>
    </row>
    <row r="36" customFormat="false" ht="17.15" hidden="false" customHeight="false" outlineLevel="0" collapsed="false">
      <c r="A36" s="5" t="s">
        <v>52</v>
      </c>
      <c r="B36" s="7" t="n">
        <f aca="false">B35*B15</f>
        <v>3</v>
      </c>
      <c r="C36" s="0" t="s">
        <v>53</v>
      </c>
    </row>
    <row r="38" customFormat="false" ht="17.15" hidden="false" customHeight="false" outlineLevel="0" collapsed="false">
      <c r="A38" s="3" t="s">
        <v>54</v>
      </c>
    </row>
    <row r="39" customFormat="false" ht="17.15" hidden="false" customHeight="false" outlineLevel="0" collapsed="false">
      <c r="A39" s="0" t="s">
        <v>55</v>
      </c>
      <c r="B39" s="8" t="n">
        <f aca="false">B5*(1-B19)</f>
        <v>12</v>
      </c>
      <c r="C39" s="0" t="s">
        <v>56</v>
      </c>
    </row>
    <row r="40" customFormat="false" ht="17.15" hidden="false" customHeight="false" outlineLevel="0" collapsed="false">
      <c r="A40" s="0" t="s">
        <v>57</v>
      </c>
      <c r="B40" s="8" t="n">
        <f aca="false">B6*(1-B20)-B22</f>
        <v>21.124</v>
      </c>
      <c r="C40" s="0" t="s">
        <v>58</v>
      </c>
    </row>
    <row r="41" customFormat="false" ht="17.15" hidden="false" customHeight="false" outlineLevel="0" collapsed="false">
      <c r="A41" s="0" t="s">
        <v>59</v>
      </c>
      <c r="B41" s="8" t="n">
        <f aca="false">B7*(1-B21)-B22</f>
        <v>25.629</v>
      </c>
      <c r="C41" s="0" t="s">
        <v>60</v>
      </c>
    </row>
    <row r="42" customFormat="false" ht="17.15" hidden="false" customHeight="false" outlineLevel="0" collapsed="false">
      <c r="A42" s="5" t="s">
        <v>61</v>
      </c>
      <c r="B42" s="8" t="n">
        <f aca="false">B39*B25</f>
        <v>8.4</v>
      </c>
      <c r="C42" s="0" t="s">
        <v>62</v>
      </c>
    </row>
    <row r="43" customFormat="false" ht="17.15" hidden="false" customHeight="false" outlineLevel="0" collapsed="false">
      <c r="A43" s="5" t="s">
        <v>63</v>
      </c>
      <c r="B43" s="8" t="n">
        <f aca="false">B40*B26</f>
        <v>10.562</v>
      </c>
      <c r="C43" s="0" t="s">
        <v>64</v>
      </c>
    </row>
    <row r="44" customFormat="false" ht="17.15" hidden="false" customHeight="false" outlineLevel="0" collapsed="false">
      <c r="A44" s="5" t="s">
        <v>65</v>
      </c>
      <c r="B44" s="8" t="n">
        <f aca="false">B41*B27</f>
        <v>12.8145</v>
      </c>
      <c r="C44" s="0" t="s">
        <v>66</v>
      </c>
    </row>
    <row r="45" customFormat="false" ht="17.15" hidden="false" customHeight="false" outlineLevel="0" collapsed="false">
      <c r="A45" s="5" t="s">
        <v>67</v>
      </c>
      <c r="B45" s="8" t="n">
        <f aca="false">B39*(1-B25)</f>
        <v>3.6</v>
      </c>
      <c r="C45" s="0" t="s">
        <v>68</v>
      </c>
    </row>
    <row r="46" customFormat="false" ht="17.15" hidden="false" customHeight="false" outlineLevel="0" collapsed="false">
      <c r="A46" s="5" t="s">
        <v>69</v>
      </c>
      <c r="B46" s="8" t="n">
        <f aca="false">B40*(1-B26)</f>
        <v>10.562</v>
      </c>
      <c r="C46" s="0" t="s">
        <v>64</v>
      </c>
    </row>
    <row r="47" customFormat="false" ht="17.15" hidden="false" customHeight="false" outlineLevel="0" collapsed="false">
      <c r="A47" s="5" t="s">
        <v>70</v>
      </c>
      <c r="B47" s="8" t="n">
        <f aca="false">B41*(1-B27)</f>
        <v>12.8145</v>
      </c>
      <c r="C47" s="0" t="s">
        <v>66</v>
      </c>
    </row>
    <row r="49" customFormat="false" ht="17.15" hidden="false" customHeight="false" outlineLevel="0" collapsed="false">
      <c r="A49" s="9" t="s">
        <v>71</v>
      </c>
      <c r="B49" s="9"/>
      <c r="C49" s="9"/>
    </row>
  </sheetData>
  <mergeCells count="3">
    <mergeCell ref="A1:C1"/>
    <mergeCell ref="A2:C2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15" min="3" style="0" width="13"/>
  </cols>
  <sheetData>
    <row r="1" customFormat="false" ht="24" hidden="false" customHeight="true" outlineLevel="0" collapsed="false">
      <c r="A1" s="10" t="s">
        <v>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7.15" hidden="false" customHeight="fals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7.15" hidden="false" customHeight="false" outlineLevel="0" collapsed="false">
      <c r="A4" s="11" t="s">
        <v>74</v>
      </c>
      <c r="B4" s="12" t="s">
        <v>75</v>
      </c>
      <c r="C4" s="13" t="s">
        <v>76</v>
      </c>
      <c r="D4" s="13" t="s">
        <v>77</v>
      </c>
      <c r="E4" s="13" t="s">
        <v>78</v>
      </c>
      <c r="F4" s="13" t="s">
        <v>79</v>
      </c>
      <c r="G4" s="13" t="s">
        <v>80</v>
      </c>
      <c r="H4" s="13" t="s">
        <v>81</v>
      </c>
      <c r="I4" s="13" t="s">
        <v>82</v>
      </c>
      <c r="J4" s="13" t="s">
        <v>83</v>
      </c>
      <c r="K4" s="13" t="s">
        <v>84</v>
      </c>
      <c r="L4" s="13" t="s">
        <v>85</v>
      </c>
      <c r="M4" s="13" t="s">
        <v>86</v>
      </c>
      <c r="N4" s="13" t="s">
        <v>87</v>
      </c>
    </row>
    <row r="5" customFormat="false" ht="15" hidden="false" customHeight="false" outlineLevel="0" collapsed="false">
      <c r="A5" s="3" t="s">
        <v>88</v>
      </c>
    </row>
    <row r="6" customFormat="false" ht="15" hidden="false" customHeight="false" outlineLevel="0" collapsed="false">
      <c r="A6" s="5" t="s">
        <v>89</v>
      </c>
      <c r="B6" s="12" t="s">
        <v>90</v>
      </c>
      <c r="C6" s="0" t="n">
        <f aca="false">가정값!B11</f>
        <v>5000</v>
      </c>
      <c r="D6" s="0" t="n">
        <f aca="false">가정값!B11*(1+가정값!B16)^1</f>
        <v>6000</v>
      </c>
      <c r="E6" s="0" t="n">
        <f aca="false">가정값!B11*(1+가정값!B16)^2</f>
        <v>7200</v>
      </c>
      <c r="F6" s="0" t="n">
        <f aca="false">가정값!B11*(1+가정값!B16)^3</f>
        <v>8640</v>
      </c>
      <c r="G6" s="0" t="n">
        <f aca="false">가정값!B11*(1+가정값!B16)^4</f>
        <v>10368</v>
      </c>
      <c r="H6" s="0" t="n">
        <f aca="false">가정값!B11*(1+가정값!B16)^5</f>
        <v>12441.6</v>
      </c>
      <c r="I6" s="0" t="n">
        <f aca="false">가정값!B11*(1+가정값!B16)^6</f>
        <v>14929.92</v>
      </c>
      <c r="J6" s="0" t="n">
        <f aca="false">가정값!B11*(1+가정값!B16)^7</f>
        <v>17915.904</v>
      </c>
      <c r="K6" s="0" t="n">
        <f aca="false">가정값!B11*(1+가정값!B16)^8</f>
        <v>21499.0848</v>
      </c>
      <c r="L6" s="0" t="n">
        <f aca="false">가정값!B11*(1+가정값!B16)^9</f>
        <v>25798.90176</v>
      </c>
      <c r="M6" s="0" t="n">
        <f aca="false">가정값!B11*(1+가정값!B16)^10</f>
        <v>30958.682112</v>
      </c>
      <c r="N6" s="0" t="n">
        <f aca="false">가정값!B11*(1+가정값!B16)^11</f>
        <v>37150.4185344</v>
      </c>
    </row>
    <row r="7" customFormat="false" ht="17.15" hidden="false" customHeight="false" outlineLevel="0" collapsed="false">
      <c r="A7" s="5" t="s">
        <v>91</v>
      </c>
      <c r="B7" s="14" t="s">
        <v>92</v>
      </c>
      <c r="C7" s="0" t="n">
        <f aca="false">C6*가정값!B12</f>
        <v>3000</v>
      </c>
      <c r="D7" s="0" t="n">
        <f aca="false">D6*가정값!B12</f>
        <v>3600</v>
      </c>
      <c r="E7" s="0" t="n">
        <f aca="false">E6*가정값!B12</f>
        <v>4320</v>
      </c>
      <c r="F7" s="0" t="n">
        <f aca="false">F6*가정값!B12</f>
        <v>5184</v>
      </c>
      <c r="G7" s="0" t="n">
        <f aca="false">G6*가정값!B12</f>
        <v>6220.8</v>
      </c>
      <c r="H7" s="0" t="n">
        <f aca="false">H6*가정값!B12</f>
        <v>7464.96</v>
      </c>
      <c r="I7" s="0" t="n">
        <f aca="false">I6*가정값!B12</f>
        <v>8957.952</v>
      </c>
      <c r="J7" s="0" t="n">
        <f aca="false">J6*가정값!B12</f>
        <v>10749.5424</v>
      </c>
      <c r="K7" s="0" t="n">
        <f aca="false">K6*가정값!B12</f>
        <v>12899.45088</v>
      </c>
      <c r="L7" s="0" t="n">
        <f aca="false">L6*가정값!B12</f>
        <v>15479.341056</v>
      </c>
      <c r="M7" s="0" t="n">
        <f aca="false">M6*가정값!B12</f>
        <v>18575.2092672</v>
      </c>
      <c r="N7" s="0" t="n">
        <f aca="false">N6*가정값!B12</f>
        <v>22290.25112064</v>
      </c>
    </row>
    <row r="8" customFormat="false" ht="17.15" hidden="false" customHeight="false" outlineLevel="0" collapsed="false">
      <c r="A8" s="0" t="s">
        <v>93</v>
      </c>
      <c r="B8" s="14" t="s">
        <v>94</v>
      </c>
      <c r="C8" s="0" t="n">
        <f aca="false">C7*가정값!B13*8</f>
        <v>1920</v>
      </c>
      <c r="D8" s="0" t="n">
        <f aca="false">D7*가정값!B13*8</f>
        <v>2304</v>
      </c>
      <c r="E8" s="0" t="n">
        <f aca="false">E7*가정값!B13*8</f>
        <v>2764.8</v>
      </c>
      <c r="F8" s="0" t="n">
        <f aca="false">F7*가정값!B13*8</f>
        <v>3317.76</v>
      </c>
      <c r="G8" s="0" t="n">
        <f aca="false">G7*가정값!B13*8</f>
        <v>3981.312</v>
      </c>
      <c r="H8" s="0" t="n">
        <f aca="false">H7*가정값!B13*8</f>
        <v>4777.5744</v>
      </c>
      <c r="I8" s="0" t="n">
        <f aca="false">I7*가정값!B13*8</f>
        <v>5733.08928</v>
      </c>
      <c r="J8" s="0" t="n">
        <f aca="false">J7*가정값!B13*8</f>
        <v>6879.707136</v>
      </c>
      <c r="K8" s="0" t="n">
        <f aca="false">K7*가정값!B13*8</f>
        <v>8255.6485632</v>
      </c>
      <c r="L8" s="0" t="n">
        <f aca="false">L7*가정값!B13*8</f>
        <v>9906.77827584</v>
      </c>
      <c r="M8" s="0" t="n">
        <f aca="false">M7*가정값!B13*8</f>
        <v>11888.133931008</v>
      </c>
      <c r="N8" s="0" t="n">
        <f aca="false">N7*가정값!B13*8</f>
        <v>14265.7607172096</v>
      </c>
    </row>
    <row r="9" customFormat="false" ht="17.15" hidden="false" customHeight="false" outlineLevel="0" collapsed="false">
      <c r="A9" s="0" t="s">
        <v>95</v>
      </c>
      <c r="B9" s="14" t="s">
        <v>96</v>
      </c>
      <c r="C9" s="0" t="n">
        <f aca="false">C8*가정값!B14</f>
        <v>768</v>
      </c>
      <c r="D9" s="0" t="n">
        <f aca="false">D8*가정값!B14</f>
        <v>921.6</v>
      </c>
      <c r="E9" s="0" t="n">
        <f aca="false">E8*가정값!B14</f>
        <v>1105.92</v>
      </c>
      <c r="F9" s="0" t="n">
        <f aca="false">F8*가정값!B14</f>
        <v>1327.104</v>
      </c>
      <c r="G9" s="0" t="n">
        <f aca="false">G8*가정값!B14</f>
        <v>1592.5248</v>
      </c>
      <c r="H9" s="0" t="n">
        <f aca="false">H8*가정값!B14</f>
        <v>1911.02976</v>
      </c>
      <c r="I9" s="0" t="n">
        <f aca="false">I8*가정값!B14</f>
        <v>2293.235712</v>
      </c>
      <c r="J9" s="0" t="n">
        <f aca="false">J8*가정값!B14</f>
        <v>2751.8828544</v>
      </c>
      <c r="K9" s="0" t="n">
        <f aca="false">K8*가정값!B14</f>
        <v>3302.25942528</v>
      </c>
      <c r="L9" s="0" t="n">
        <f aca="false">L8*가정값!B14</f>
        <v>3962.711310336</v>
      </c>
      <c r="M9" s="0" t="n">
        <f aca="false">M8*가정값!B14</f>
        <v>4755.2535724032</v>
      </c>
      <c r="N9" s="0" t="n">
        <f aca="false">N8*가정값!B14</f>
        <v>5706.30428688384</v>
      </c>
    </row>
    <row r="10" customFormat="false" ht="17.15" hidden="false" customHeight="false" outlineLevel="0" collapsed="false">
      <c r="A10" s="0" t="s">
        <v>97</v>
      </c>
      <c r="B10" s="14" t="s">
        <v>98</v>
      </c>
      <c r="C10" s="0" t="n">
        <f aca="false">C9*가정값!B15</f>
        <v>192</v>
      </c>
      <c r="D10" s="0" t="n">
        <f aca="false">D9*가정값!B15</f>
        <v>230.4</v>
      </c>
      <c r="E10" s="0" t="n">
        <f aca="false">E9*가정값!B15</f>
        <v>276.48</v>
      </c>
      <c r="F10" s="0" t="n">
        <f aca="false">F9*가정값!B15</f>
        <v>331.776</v>
      </c>
      <c r="G10" s="0" t="n">
        <f aca="false">G9*가정값!B15</f>
        <v>398.1312</v>
      </c>
      <c r="H10" s="0" t="n">
        <f aca="false">H9*가정값!B15</f>
        <v>477.75744</v>
      </c>
      <c r="I10" s="0" t="n">
        <f aca="false">I9*가정값!B15</f>
        <v>573.308928</v>
      </c>
      <c r="J10" s="0" t="n">
        <f aca="false">J9*가정값!B15</f>
        <v>687.9707136</v>
      </c>
      <c r="K10" s="0" t="n">
        <f aca="false">K9*가정값!B15</f>
        <v>825.56485632</v>
      </c>
      <c r="L10" s="0" t="n">
        <f aca="false">L9*가정값!B15</f>
        <v>990.677827584</v>
      </c>
      <c r="M10" s="0" t="n">
        <f aca="false">M9*가정값!B15</f>
        <v>1188.8133931008</v>
      </c>
      <c r="N10" s="0" t="n">
        <f aca="false">N9*가정값!B15</f>
        <v>1426.57607172096</v>
      </c>
    </row>
    <row r="12" customFormat="false" ht="17.15" hidden="false" customHeight="false" outlineLevel="0" collapsed="false">
      <c r="A12" s="3" t="s">
        <v>99</v>
      </c>
    </row>
    <row r="13" customFormat="false" ht="17.15" hidden="false" customHeight="false" outlineLevel="0" collapsed="false">
      <c r="A13" s="0" t="s">
        <v>100</v>
      </c>
      <c r="C13" s="0" t="n">
        <f aca="false">C8*가정값!B5</f>
        <v>28800</v>
      </c>
      <c r="D13" s="0" t="n">
        <f aca="false">D8*가정값!B5</f>
        <v>34560</v>
      </c>
      <c r="E13" s="0" t="n">
        <f aca="false">E8*가정값!B5</f>
        <v>41472</v>
      </c>
      <c r="F13" s="0" t="n">
        <f aca="false">F8*가정값!B5</f>
        <v>49766.4</v>
      </c>
      <c r="G13" s="0" t="n">
        <f aca="false">G8*가정값!B5</f>
        <v>59719.68</v>
      </c>
      <c r="H13" s="0" t="n">
        <f aca="false">H8*가정값!B5</f>
        <v>71663.616</v>
      </c>
      <c r="I13" s="0" t="n">
        <f aca="false">I8*가정값!B5</f>
        <v>85996.3392</v>
      </c>
      <c r="J13" s="0" t="n">
        <f aca="false">J8*가정값!B5</f>
        <v>103195.60704</v>
      </c>
      <c r="K13" s="0" t="n">
        <f aca="false">K8*가정값!B5</f>
        <v>123834.728448</v>
      </c>
      <c r="L13" s="0" t="n">
        <f aca="false">L8*가정값!B5</f>
        <v>148601.6741376</v>
      </c>
      <c r="M13" s="0" t="n">
        <f aca="false">M8*가정값!B5</f>
        <v>178322.00896512</v>
      </c>
      <c r="N13" s="0" t="n">
        <f aca="false">N8*가정값!B5</f>
        <v>213986.410758144</v>
      </c>
    </row>
    <row r="14" customFormat="false" ht="17.15" hidden="false" customHeight="false" outlineLevel="0" collapsed="false">
      <c r="A14" s="0" t="s">
        <v>101</v>
      </c>
      <c r="C14" s="0" t="n">
        <f aca="false">C9*가정값!B6</f>
        <v>18432</v>
      </c>
      <c r="D14" s="0" t="n">
        <f aca="false">D9*가정값!B6</f>
        <v>22118.4</v>
      </c>
      <c r="E14" s="0" t="n">
        <f aca="false">E9*가정값!B6</f>
        <v>26542.08</v>
      </c>
      <c r="F14" s="0" t="n">
        <f aca="false">F9*가정값!B6</f>
        <v>31850.496</v>
      </c>
      <c r="G14" s="0" t="n">
        <f aca="false">G9*가정값!B6</f>
        <v>38220.5952</v>
      </c>
      <c r="H14" s="0" t="n">
        <f aca="false">H9*가정값!B6</f>
        <v>45864.71424</v>
      </c>
      <c r="I14" s="0" t="n">
        <f aca="false">I9*가정값!B6</f>
        <v>55037.657088</v>
      </c>
      <c r="J14" s="0" t="n">
        <f aca="false">J9*가정값!B6</f>
        <v>66045.1885056</v>
      </c>
      <c r="K14" s="0" t="n">
        <f aca="false">K9*가정값!B6</f>
        <v>79254.22620672</v>
      </c>
      <c r="L14" s="0" t="n">
        <f aca="false">L9*가정값!B6</f>
        <v>95105.071448064</v>
      </c>
      <c r="M14" s="0" t="n">
        <f aca="false">M9*가정값!B6</f>
        <v>114126.085737677</v>
      </c>
      <c r="N14" s="0" t="n">
        <f aca="false">N9*가정값!B6</f>
        <v>136951.302885212</v>
      </c>
    </row>
    <row r="15" customFormat="false" ht="17.15" hidden="false" customHeight="false" outlineLevel="0" collapsed="false">
      <c r="A15" s="0" t="s">
        <v>102</v>
      </c>
      <c r="C15" s="0" t="n">
        <f aca="false">C10*가정값!B7</f>
        <v>5568</v>
      </c>
      <c r="D15" s="0" t="n">
        <f aca="false">D10*가정값!B7</f>
        <v>6681.6</v>
      </c>
      <c r="E15" s="0" t="n">
        <f aca="false">E10*가정값!B7</f>
        <v>8017.92</v>
      </c>
      <c r="F15" s="0" t="n">
        <f aca="false">F10*가정값!B7</f>
        <v>9621.504</v>
      </c>
      <c r="G15" s="0" t="n">
        <f aca="false">G10*가정값!B7</f>
        <v>11545.8048</v>
      </c>
      <c r="H15" s="0" t="n">
        <f aca="false">H10*가정값!B7</f>
        <v>13854.96576</v>
      </c>
      <c r="I15" s="0" t="n">
        <f aca="false">I10*가정값!B7</f>
        <v>16625.958912</v>
      </c>
      <c r="J15" s="0" t="n">
        <f aca="false">J10*가정값!B7</f>
        <v>19951.1506944</v>
      </c>
      <c r="K15" s="0" t="n">
        <f aca="false">K10*가정값!B7</f>
        <v>23941.38083328</v>
      </c>
      <c r="L15" s="0" t="n">
        <f aca="false">L10*가정값!B7</f>
        <v>28729.656999936</v>
      </c>
      <c r="M15" s="0" t="n">
        <f aca="false">M10*가정값!B7</f>
        <v>34475.5883999232</v>
      </c>
      <c r="N15" s="0" t="n">
        <f aca="false">N10*가정값!B7</f>
        <v>41370.7060799078</v>
      </c>
    </row>
    <row r="16" customFormat="false" ht="17.15" hidden="false" customHeight="false" outlineLevel="0" collapsed="false">
      <c r="A16" s="15" t="s">
        <v>103</v>
      </c>
      <c r="C16" s="8" t="n">
        <f aca="false">C13+C14+C15</f>
        <v>52800</v>
      </c>
      <c r="D16" s="8" t="n">
        <f aca="false">D13+D14+D15</f>
        <v>63360</v>
      </c>
      <c r="E16" s="8" t="n">
        <f aca="false">E13+E14+E15</f>
        <v>76032</v>
      </c>
      <c r="F16" s="8" t="n">
        <f aca="false">F13+F14+F15</f>
        <v>91238.4</v>
      </c>
      <c r="G16" s="8" t="n">
        <f aca="false">G13+G14+G15</f>
        <v>109486.08</v>
      </c>
      <c r="H16" s="8" t="n">
        <f aca="false">H13+H14+H15</f>
        <v>131383.296</v>
      </c>
      <c r="I16" s="8" t="n">
        <f aca="false">I13+I14+I15</f>
        <v>157659.9552</v>
      </c>
      <c r="J16" s="8" t="n">
        <f aca="false">J13+J14+J15</f>
        <v>189191.94624</v>
      </c>
      <c r="K16" s="8" t="n">
        <f aca="false">K13+K14+K15</f>
        <v>227030.335488</v>
      </c>
      <c r="L16" s="8" t="n">
        <f aca="false">L13+L14+L15</f>
        <v>272436.4025856</v>
      </c>
      <c r="M16" s="8" t="n">
        <f aca="false">M13+M14+M15</f>
        <v>326923.68310272</v>
      </c>
      <c r="N16" s="8" t="n">
        <f aca="false">N13+N14+N15</f>
        <v>392308.419723264</v>
      </c>
    </row>
    <row r="17" customFormat="false" ht="17.15" hidden="false" customHeight="false" outlineLevel="0" collapsed="false">
      <c r="A17" s="5" t="s">
        <v>104</v>
      </c>
      <c r="C17" s="0" t="n">
        <f aca="false">-(C13*가정값!$B$19+C14*가정값!$B$20+C9*가정값!$B$22+C15*가정값!$B$21+C10*가정값!$B$22)</f>
        <v>-8616</v>
      </c>
      <c r="D17" s="0" t="n">
        <f aca="false">-(D13*가정값!$B$19+D14*가정값!$B$20+D9*가정값!$B$22+D15*가정값!$B$21+D10*가정값!$B$22)</f>
        <v>-10339.2</v>
      </c>
      <c r="E17" s="0" t="n">
        <f aca="false">-(E13*가정값!$B$19+E14*가정값!$B$20+E9*가정값!$B$22+E15*가정값!$B$21+E10*가정값!$B$22)</f>
        <v>-12407.04</v>
      </c>
      <c r="F17" s="0" t="n">
        <f aca="false">-(F13*가정값!$B$19+F14*가정값!$B$20+F9*가정값!$B$22+F15*가정값!$B$21+F10*가정값!$B$22)</f>
        <v>-14888.448</v>
      </c>
      <c r="G17" s="0" t="n">
        <f aca="false">-(G13*가정값!$B$19+G14*가정값!$B$20+G9*가정값!$B$22+G15*가정값!$B$21+G10*가정값!$B$22)</f>
        <v>-17866.1376</v>
      </c>
      <c r="H17" s="0" t="n">
        <f aca="false">-(H13*가정값!$B$19+H14*가정값!$B$20+H9*가정값!$B$22+H15*가정값!$B$21+H10*가정값!$B$22)</f>
        <v>-21439.36512</v>
      </c>
      <c r="I17" s="0" t="n">
        <f aca="false">-(I13*가정값!$B$19+I14*가정값!$B$20+I9*가정값!$B$22+I15*가정값!$B$21+I10*가정값!$B$22)</f>
        <v>-25727.238144</v>
      </c>
      <c r="J17" s="0" t="n">
        <f aca="false">-(J13*가정값!$B$19+J14*가정값!$B$20+J9*가정값!$B$22+J15*가정값!$B$21+J10*가정값!$B$22)</f>
        <v>-30872.6857728</v>
      </c>
      <c r="K17" s="0" t="n">
        <f aca="false">-(K13*가정값!$B$19+K14*가정값!$B$20+K9*가정값!$B$22+K15*가정값!$B$21+K10*가정값!$B$22)</f>
        <v>-37047.22292736</v>
      </c>
      <c r="L17" s="0" t="n">
        <f aca="false">-(L13*가정값!$B$19+L14*가정값!$B$20+L9*가정값!$B$22+L15*가정값!$B$21+L10*가정값!$B$22)</f>
        <v>-44456.667512832</v>
      </c>
      <c r="M17" s="0" t="n">
        <f aca="false">-(M13*가정값!$B$19+M14*가정값!$B$20+M9*가정값!$B$22+M15*가정값!$B$21+M10*가정값!$B$22)</f>
        <v>-53348.0010153984</v>
      </c>
      <c r="N17" s="0" t="n">
        <f aca="false">-(N13*가정값!$B$19+N14*가정값!$B$20+N9*가정값!$B$22+N15*가정값!$B$21+N10*가정값!$B$22)</f>
        <v>-64017.6012184781</v>
      </c>
    </row>
    <row r="18" customFormat="false" ht="17.15" hidden="false" customHeight="false" outlineLevel="0" collapsed="false">
      <c r="A18" s="5" t="s">
        <v>105</v>
      </c>
      <c r="C18" s="0" t="n">
        <f aca="false">-(C13*(1-가정값!$B$19)*가정값!$B$25*가정값!$B$28+(C14*(1-가정값!$B$20)-C9*가정값!$B$22)*가정값!$B$26*가정값!$B$29+(C15*(1-가정값!$B$21)-C10*가정값!$B$22)*가정값!$B$27*가정값!$B$30)</f>
        <v>-15581.9232</v>
      </c>
      <c r="D18" s="0" t="n">
        <f aca="false">-(D13*(1-가정값!$B$19)*가정값!$B$25*가정값!$B$28+(D14*(1-가정값!$B$20)-D9*가정값!$B$22)*가정값!$B$26*가정값!$B$29+(D15*(1-가정값!$B$21)-D10*가정값!$B$22)*가정값!$B$27*가정값!$B$30)</f>
        <v>-18698.30784</v>
      </c>
      <c r="E18" s="0" t="n">
        <f aca="false">-(E13*(1-가정값!$B$19)*가정값!$B$25*가정값!$B$28+(E14*(1-가정값!$B$20)-E9*가정값!$B$22)*가정값!$B$26*가정값!$B$29+(E15*(1-가정값!$B$21)-E10*가정값!$B$22)*가정값!$B$27*가정값!$B$30)</f>
        <v>-22437.969408</v>
      </c>
      <c r="F18" s="0" t="n">
        <f aca="false">-(F13*(1-가정값!$B$19)*가정값!$B$25*가정값!$B$28+(F14*(1-가정값!$B$20)-F9*가정값!$B$22)*가정값!$B$26*가정값!$B$29+(F15*(1-가정값!$B$21)-F10*가정값!$B$22)*가정값!$B$27*가정값!$B$30)</f>
        <v>-26925.5632896</v>
      </c>
      <c r="G18" s="0" t="n">
        <f aca="false">-(G13*(1-가정값!$B$19)*가정값!$B$25*가정값!$B$28+(G14*(1-가정값!$B$20)-G9*가정값!$B$22)*가정값!$B$26*가정값!$B$29+(G15*(1-가정값!$B$21)-G10*가정값!$B$22)*가정값!$B$27*가정값!$B$30)</f>
        <v>-32310.67594752</v>
      </c>
      <c r="H18" s="0" t="n">
        <f aca="false">-(H13*(1-가정값!$B$19)*가정값!$B$25*가정값!$B$28+(H14*(1-가정값!$B$20)-H9*가정값!$B$22)*가정값!$B$26*가정값!$B$29+(H15*(1-가정값!$B$21)-H10*가정값!$B$22)*가정값!$B$27*가정값!$B$30)</f>
        <v>-38772.811137024</v>
      </c>
      <c r="I18" s="0" t="n">
        <f aca="false">-(I13*(1-가정값!$B$19)*가정값!$B$25*가정값!$B$28+(I14*(1-가정값!$B$20)-I9*가정값!$B$22)*가정값!$B$26*가정값!$B$29+(I15*(1-가정값!$B$21)-I10*가정값!$B$22)*가정값!$B$27*가정값!$B$30)</f>
        <v>-46527.3733644288</v>
      </c>
      <c r="J18" s="0" t="n">
        <f aca="false">-(J13*(1-가정값!$B$19)*가정값!$B$25*가정값!$B$28+(J14*(1-가정값!$B$20)-J9*가정값!$B$22)*가정값!$B$26*가정값!$B$29+(J15*(1-가정값!$B$21)-J10*가정값!$B$22)*가정값!$B$27*가정값!$B$30)</f>
        <v>-55832.8480373145</v>
      </c>
      <c r="K18" s="0" t="n">
        <f aca="false">-(K13*(1-가정값!$B$19)*가정값!$B$25*가정값!$B$28+(K14*(1-가정값!$B$20)-K9*가정값!$B$22)*가정값!$B$26*가정값!$B$29+(K15*(1-가정값!$B$21)-K10*가정값!$B$22)*가정값!$B$27*가정값!$B$30)</f>
        <v>-66999.4176447774</v>
      </c>
      <c r="L18" s="0" t="n">
        <f aca="false">-(L13*(1-가정값!$B$19)*가정값!$B$25*가정값!$B$28+(L14*(1-가정값!$B$20)-L9*가정값!$B$22)*가정값!$B$26*가정값!$B$29+(L15*(1-가정값!$B$21)-L10*가정값!$B$22)*가정값!$B$27*가정값!$B$30)</f>
        <v>-80399.3011737329</v>
      </c>
      <c r="M18" s="0" t="n">
        <f aca="false">-(M13*(1-가정값!$B$19)*가정값!$B$25*가정값!$B$28+(M14*(1-가정값!$B$20)-M9*가정값!$B$22)*가정값!$B$26*가정값!$B$29+(M15*(1-가정값!$B$21)-M10*가정값!$B$22)*가정값!$B$27*가정값!$B$30)</f>
        <v>-96479.1614084795</v>
      </c>
      <c r="N18" s="0" t="n">
        <f aca="false">-(N13*(1-가정값!$B$19)*가정값!$B$25*가정값!$B$28+(N14*(1-가정값!$B$20)-N9*가정값!$B$22)*가정값!$B$26*가정값!$B$29+(N15*(1-가정값!$B$21)-N10*가정값!$B$22)*가정값!$B$27*가정값!$B$30)</f>
        <v>-115774.993690175</v>
      </c>
    </row>
    <row r="19" customFormat="false" ht="15" hidden="false" customHeight="false" outlineLevel="0" collapsed="false">
      <c r="A19" s="15" t="s">
        <v>106</v>
      </c>
      <c r="C19" s="7" t="n">
        <f aca="false">C16+C17+C18</f>
        <v>28602.0768</v>
      </c>
      <c r="D19" s="7" t="n">
        <f aca="false">D16+D17+D18</f>
        <v>34322.49216</v>
      </c>
      <c r="E19" s="7" t="n">
        <f aca="false">E16+E17+E18</f>
        <v>41186.990592</v>
      </c>
      <c r="F19" s="7" t="n">
        <f aca="false">F16+F17+F18</f>
        <v>49424.3887104</v>
      </c>
      <c r="G19" s="7" t="n">
        <f aca="false">G16+G17+G18</f>
        <v>59309.26645248</v>
      </c>
      <c r="H19" s="7" t="n">
        <f aca="false">H16+H17+H18</f>
        <v>71171.119742976</v>
      </c>
      <c r="I19" s="7" t="n">
        <f aca="false">I16+I17+I18</f>
        <v>85405.3436915712</v>
      </c>
      <c r="J19" s="7" t="n">
        <f aca="false">J16+J17+J18</f>
        <v>102486.412429885</v>
      </c>
      <c r="K19" s="7" t="n">
        <f aca="false">K16+K17+K18</f>
        <v>122983.694915862</v>
      </c>
      <c r="L19" s="7" t="n">
        <f aca="false">L16+L17+L18</f>
        <v>147580.433899035</v>
      </c>
      <c r="M19" s="7" t="n">
        <f aca="false">M16+M17+M18</f>
        <v>177096.520678842</v>
      </c>
      <c r="N19" s="7" t="n">
        <f aca="false">N16+N17+N18</f>
        <v>212515.82481461</v>
      </c>
    </row>
    <row r="20" customFormat="false" ht="15" hidden="false" customHeight="false" outlineLevel="0" collapsed="false">
      <c r="A20" s="15" t="s">
        <v>107</v>
      </c>
      <c r="C20" s="0" t="n">
        <f aca="false">C19</f>
        <v>28602.0768</v>
      </c>
      <c r="D20" s="0" t="n">
        <f aca="false">C20+D19</f>
        <v>62924.56896</v>
      </c>
      <c r="E20" s="0" t="n">
        <f aca="false">D20+E19</f>
        <v>104111.559552</v>
      </c>
      <c r="F20" s="0" t="n">
        <f aca="false">E20+F19</f>
        <v>153535.9482624</v>
      </c>
      <c r="G20" s="0" t="n">
        <f aca="false">F20+G19</f>
        <v>212845.21471488</v>
      </c>
      <c r="H20" s="0" t="n">
        <f aca="false">G20+H19</f>
        <v>284016.334457856</v>
      </c>
      <c r="I20" s="0" t="n">
        <f aca="false">H20+I19</f>
        <v>369421.678149427</v>
      </c>
      <c r="J20" s="0" t="n">
        <f aca="false">I20+J19</f>
        <v>471908.090579313</v>
      </c>
      <c r="K20" s="0" t="n">
        <f aca="false">J20+K19</f>
        <v>594891.785495175</v>
      </c>
      <c r="L20" s="0" t="n">
        <f aca="false">K20+L19</f>
        <v>742472.21939421</v>
      </c>
      <c r="M20" s="0" t="n">
        <f aca="false">L20+M19</f>
        <v>919568.740073052</v>
      </c>
      <c r="N20" s="0" t="n">
        <f aca="false">M20+N19</f>
        <v>1132084.56488766</v>
      </c>
    </row>
    <row r="22" customFormat="false" ht="15" hidden="false" customHeight="false" outlineLevel="0" collapsed="false">
      <c r="A22" s="3" t="s">
        <v>108</v>
      </c>
    </row>
    <row r="23" customFormat="false" ht="15" hidden="false" customHeight="false" outlineLevel="0" collapsed="false">
      <c r="A23" s="5" t="s">
        <v>109</v>
      </c>
      <c r="B23" s="8" t="n">
        <f aca="false">SUM(C16:N16)</f>
        <v>2089850.51833958</v>
      </c>
    </row>
    <row r="24" customFormat="false" ht="15" hidden="false" customHeight="false" outlineLevel="0" collapsed="false">
      <c r="A24" s="5" t="s">
        <v>110</v>
      </c>
      <c r="B24" s="7" t="n">
        <f aca="false">SUM(C19:N19)</f>
        <v>1132084.56488766</v>
      </c>
    </row>
    <row r="25" customFormat="false" ht="17.15" hidden="false" customHeight="false" outlineLevel="0" collapsed="false">
      <c r="A25" s="5" t="s">
        <v>111</v>
      </c>
      <c r="B25" s="7" t="n">
        <f aca="false">B24*1400</f>
        <v>1584918390.84273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8"/>
  </cols>
  <sheetData>
    <row r="1" customFormat="false" ht="24" hidden="false" customHeight="true" outlineLevel="0" collapsed="false">
      <c r="A1" s="10" t="s">
        <v>112</v>
      </c>
      <c r="B1" s="10"/>
      <c r="C1" s="10"/>
      <c r="D1" s="10"/>
      <c r="E1" s="10"/>
    </row>
    <row r="2" customFormat="false" ht="17.15" hidden="false" customHeight="false" outlineLevel="0" collapsed="false">
      <c r="A2" s="16" t="s">
        <v>113</v>
      </c>
      <c r="B2" s="16"/>
      <c r="C2" s="16"/>
      <c r="D2" s="16"/>
      <c r="E2" s="16"/>
    </row>
    <row r="4" customFormat="false" ht="17.15" hidden="false" customHeight="false" outlineLevel="0" collapsed="false">
      <c r="A4" s="11" t="s">
        <v>114</v>
      </c>
      <c r="B4" s="17" t="s">
        <v>115</v>
      </c>
      <c r="C4" s="11" t="s">
        <v>116</v>
      </c>
      <c r="D4" s="18" t="s">
        <v>117</v>
      </c>
      <c r="E4" s="19" t="s">
        <v>118</v>
      </c>
    </row>
    <row r="5" customFormat="false" ht="17.15" hidden="false" customHeight="false" outlineLevel="0" collapsed="false">
      <c r="A5" s="3" t="s">
        <v>119</v>
      </c>
    </row>
    <row r="6" customFormat="false" ht="15" hidden="false" customHeight="false" outlineLevel="0" collapsed="false">
      <c r="A6" s="5" t="s">
        <v>120</v>
      </c>
      <c r="B6" s="4" t="n">
        <v>500</v>
      </c>
      <c r="C6" s="4" t="n">
        <v>5000</v>
      </c>
      <c r="D6" s="4" t="n">
        <v>20000</v>
      </c>
      <c r="E6" s="4" t="n">
        <v>100000</v>
      </c>
    </row>
    <row r="7" customFormat="false" ht="15" hidden="false" customHeight="false" outlineLevel="0" collapsed="false">
      <c r="A7" s="5" t="s">
        <v>121</v>
      </c>
      <c r="B7" s="4" t="n">
        <v>0.4</v>
      </c>
      <c r="C7" s="4" t="n">
        <v>0.6</v>
      </c>
      <c r="D7" s="4" t="n">
        <v>0.7</v>
      </c>
      <c r="E7" s="4" t="n">
        <v>0.8</v>
      </c>
    </row>
    <row r="8" customFormat="false" ht="17.15" hidden="false" customHeight="false" outlineLevel="0" collapsed="false">
      <c r="A8" s="5" t="s">
        <v>122</v>
      </c>
      <c r="B8" s="4" t="n">
        <v>0.03</v>
      </c>
      <c r="C8" s="4" t="n">
        <v>0.08</v>
      </c>
      <c r="D8" s="4" t="n">
        <v>0.12</v>
      </c>
      <c r="E8" s="4" t="n">
        <v>0.18</v>
      </c>
    </row>
    <row r="9" customFormat="false" ht="17.15" hidden="false" customHeight="false" outlineLevel="0" collapsed="false">
      <c r="A9" s="0" t="s">
        <v>123</v>
      </c>
      <c r="B9" s="4" t="n">
        <v>0.2</v>
      </c>
      <c r="C9" s="4" t="n">
        <v>0.4</v>
      </c>
      <c r="D9" s="4" t="n">
        <v>0.55</v>
      </c>
      <c r="E9" s="4" t="n">
        <v>0.7</v>
      </c>
    </row>
    <row r="10" customFormat="false" ht="17.15" hidden="false" customHeight="false" outlineLevel="0" collapsed="false">
      <c r="A10" s="0" t="s">
        <v>124</v>
      </c>
      <c r="B10" s="4" t="n">
        <v>0.1</v>
      </c>
      <c r="C10" s="4" t="n">
        <v>0.25</v>
      </c>
      <c r="D10" s="4" t="n">
        <v>0.4</v>
      </c>
      <c r="E10" s="4" t="n">
        <v>0.55</v>
      </c>
    </row>
    <row r="11" customFormat="false" ht="15" hidden="false" customHeight="false" outlineLevel="0" collapsed="false">
      <c r="A11" s="5" t="s">
        <v>125</v>
      </c>
      <c r="B11" s="4" t="n">
        <v>0.05</v>
      </c>
      <c r="C11" s="4" t="n">
        <v>0.2</v>
      </c>
      <c r="D11" s="4" t="n">
        <v>0.3</v>
      </c>
      <c r="E11" s="4" t="n">
        <v>0.5</v>
      </c>
    </row>
    <row r="12" customFormat="false" ht="17.15" hidden="false" customHeight="false" outlineLevel="0" collapsed="false">
      <c r="A12" s="0" t="s">
        <v>126</v>
      </c>
      <c r="B12" s="4" t="n">
        <v>0.5</v>
      </c>
      <c r="C12" s="4" t="n">
        <v>0.8</v>
      </c>
      <c r="D12" s="4" t="n">
        <v>0.9</v>
      </c>
      <c r="E12" s="4" t="n">
        <v>0.95</v>
      </c>
    </row>
    <row r="13" customFormat="false" ht="17.15" hidden="false" customHeight="false" outlineLevel="0" collapsed="false">
      <c r="A13" s="0" t="s">
        <v>127</v>
      </c>
      <c r="B13" s="4" t="n">
        <v>0.2</v>
      </c>
      <c r="C13" s="4" t="n">
        <v>0.3</v>
      </c>
      <c r="D13" s="4" t="n">
        <v>0.4</v>
      </c>
      <c r="E13" s="4" t="n">
        <v>0.5</v>
      </c>
    </row>
    <row r="14" customFormat="false" ht="17.15" hidden="false" customHeight="false" outlineLevel="0" collapsed="false">
      <c r="A14" s="0" t="s">
        <v>128</v>
      </c>
      <c r="B14" s="4" t="n">
        <v>0.05</v>
      </c>
      <c r="C14" s="4" t="n">
        <v>0.1</v>
      </c>
      <c r="D14" s="4" t="n">
        <v>0.2</v>
      </c>
      <c r="E14" s="4" t="n">
        <v>0.3</v>
      </c>
    </row>
    <row r="16" customFormat="false" ht="17.15" hidden="false" customHeight="false" outlineLevel="0" collapsed="false">
      <c r="A16" s="6" t="s">
        <v>129</v>
      </c>
    </row>
    <row r="17" customFormat="false" ht="17.15" hidden="false" customHeight="false" outlineLevel="0" collapsed="false">
      <c r="A17" s="5" t="s">
        <v>130</v>
      </c>
      <c r="B17" s="0" t="n">
        <f aca="false">B6*(1+B11)^11</f>
        <v>855.169679058157</v>
      </c>
      <c r="C17" s="0" t="n">
        <f aca="false">C6*(1+C11)^11</f>
        <v>37150.4185344</v>
      </c>
      <c r="D17" s="0" t="n">
        <f aca="false">D6*(1+D11)^11</f>
        <v>358432.0788074</v>
      </c>
      <c r="E17" s="0" t="n">
        <f aca="false">E6*(1+E11)^11</f>
        <v>8649755.859375</v>
      </c>
    </row>
    <row r="18" customFormat="false" ht="17.15" hidden="false" customHeight="false" outlineLevel="0" collapsed="false">
      <c r="A18" s="5" t="s">
        <v>131</v>
      </c>
      <c r="B18" s="0" t="n">
        <f aca="false">B17*B7</f>
        <v>342.067871623263</v>
      </c>
      <c r="C18" s="0" t="n">
        <f aca="false">C17*C7</f>
        <v>22290.25112064</v>
      </c>
      <c r="D18" s="0" t="n">
        <f aca="false">D17*D7</f>
        <v>250902.45516518</v>
      </c>
      <c r="E18" s="0" t="n">
        <f aca="false">E17*E7</f>
        <v>6919804.6875</v>
      </c>
    </row>
    <row r="19" customFormat="false" ht="17.15" hidden="false" customHeight="false" outlineLevel="0" collapsed="false">
      <c r="A19" s="0" t="s">
        <v>132</v>
      </c>
      <c r="B19" s="0" t="n">
        <f aca="false">B18*B8*8</f>
        <v>82.0962891895831</v>
      </c>
      <c r="C19" s="0" t="n">
        <f aca="false">C18*C8*8</f>
        <v>14265.7607172096</v>
      </c>
      <c r="D19" s="0" t="n">
        <f aca="false">D18*D8*8</f>
        <v>240866.356958573</v>
      </c>
      <c r="E19" s="0" t="n">
        <f aca="false">E18*E8*8</f>
        <v>9964518.75</v>
      </c>
    </row>
    <row r="20" customFormat="false" ht="17.15" hidden="false" customHeight="false" outlineLevel="0" collapsed="false">
      <c r="A20" s="0" t="s">
        <v>133</v>
      </c>
      <c r="B20" s="0" t="n">
        <f aca="false">B19*B9</f>
        <v>16.4192578379166</v>
      </c>
      <c r="C20" s="0" t="n">
        <f aca="false">C19*C9</f>
        <v>5706.30428688384</v>
      </c>
      <c r="D20" s="0" t="n">
        <f aca="false">D19*D9</f>
        <v>132476.496327215</v>
      </c>
      <c r="E20" s="0" t="n">
        <f aca="false">E19*E9</f>
        <v>6975163.125</v>
      </c>
    </row>
    <row r="21" customFormat="false" ht="17.15" hidden="false" customHeight="false" outlineLevel="0" collapsed="false">
      <c r="A21" s="0" t="s">
        <v>134</v>
      </c>
      <c r="B21" s="0" t="n">
        <f aca="false">B20*B10</f>
        <v>1.64192578379166</v>
      </c>
      <c r="C21" s="0" t="n">
        <f aca="false">C20*C10</f>
        <v>1426.57607172096</v>
      </c>
      <c r="D21" s="0" t="n">
        <f aca="false">D20*D10</f>
        <v>52990.598530886</v>
      </c>
      <c r="E21" s="0" t="n">
        <f aca="false">E20*E10</f>
        <v>3836339.71875</v>
      </c>
    </row>
    <row r="22" customFormat="false" ht="17.15" hidden="false" customHeight="false" outlineLevel="0" collapsed="false">
      <c r="A22" s="0" t="s">
        <v>135</v>
      </c>
      <c r="B22" s="0" t="n">
        <f aca="false">B19*15</f>
        <v>1231.44433784375</v>
      </c>
      <c r="C22" s="0" t="n">
        <f aca="false">C19*15</f>
        <v>213986.410758144</v>
      </c>
      <c r="D22" s="0" t="n">
        <f aca="false">D19*15</f>
        <v>3612995.35437859</v>
      </c>
      <c r="E22" s="0" t="n">
        <f aca="false">E19*15</f>
        <v>149467781.25</v>
      </c>
    </row>
    <row r="23" customFormat="false" ht="17.15" hidden="false" customHeight="false" outlineLevel="0" collapsed="false">
      <c r="A23" s="0" t="s">
        <v>136</v>
      </c>
      <c r="B23" s="0" t="n">
        <f aca="false">B20*24</f>
        <v>394.062188109999</v>
      </c>
      <c r="C23" s="0" t="n">
        <f aca="false">C20*24</f>
        <v>136951.302885212</v>
      </c>
      <c r="D23" s="0" t="n">
        <f aca="false">D20*24</f>
        <v>3179435.91185316</v>
      </c>
      <c r="E23" s="0" t="n">
        <f aca="false">E20*24</f>
        <v>167403915</v>
      </c>
    </row>
    <row r="24" customFormat="false" ht="17.15" hidden="false" customHeight="false" outlineLevel="0" collapsed="false">
      <c r="A24" s="0" t="s">
        <v>137</v>
      </c>
      <c r="B24" s="0" t="n">
        <f aca="false">B21*29</f>
        <v>47.6158477299582</v>
      </c>
      <c r="C24" s="0" t="n">
        <f aca="false">C21*29</f>
        <v>41370.7060799078</v>
      </c>
      <c r="D24" s="0" t="n">
        <f aca="false">D21*29</f>
        <v>1536727.35739569</v>
      </c>
      <c r="E24" s="0" t="n">
        <f aca="false">E21*29</f>
        <v>111253851.84375</v>
      </c>
    </row>
    <row r="25" customFormat="false" ht="17.15" hidden="false" customHeight="false" outlineLevel="0" collapsed="false">
      <c r="A25" s="15" t="s">
        <v>138</v>
      </c>
      <c r="B25" s="8" t="n">
        <f aca="false">B22+B23+B24</f>
        <v>1673.1223736837</v>
      </c>
      <c r="C25" s="8" t="n">
        <f aca="false">C22+C23+C24</f>
        <v>392308.419723264</v>
      </c>
      <c r="D25" s="8" t="n">
        <f aca="false">D22+D23+D24</f>
        <v>8329158.62362745</v>
      </c>
      <c r="E25" s="8" t="n">
        <f aca="false">E22+E23+E24</f>
        <v>428125548.09375</v>
      </c>
    </row>
    <row r="26" customFormat="false" ht="17.15" hidden="false" customHeight="false" outlineLevel="0" collapsed="false">
      <c r="A26" s="5" t="s">
        <v>104</v>
      </c>
      <c r="B26" s="0" t="n">
        <f aca="false">-(B22*0.2+B23*0.099+B20*0.5+B24*0.099+B21*0.5)</f>
        <v>-299.045584927759</v>
      </c>
      <c r="C26" s="0" t="n">
        <f aca="false">-(C22*0.2+C23*0.099+C20*0.5+C24*0.099+C21*0.5)</f>
        <v>-64017.6012184781</v>
      </c>
      <c r="D26" s="0" t="n">
        <f aca="false">-(D22*0.2+D23*0.099+D20*0.5+D24*0.099+D21*0.5)</f>
        <v>-1282232.78196041</v>
      </c>
      <c r="E26" s="0" t="n">
        <f aca="false">-(E22*0.2+E23*0.099+E20*0.5+E24*0.099+E21*0.5)</f>
        <v>-62886426.5894063</v>
      </c>
    </row>
    <row r="27" customFormat="false" ht="17.15" hidden="false" customHeight="false" outlineLevel="0" collapsed="false">
      <c r="A27" s="5" t="s">
        <v>139</v>
      </c>
      <c r="B27" s="0" t="n">
        <f aca="false">-(B22*(1-0.2)*0.7*B12+(B23*(1-0.099)-B20*0.5)*0.5*B13+(B24*(1-0.099)-B21*0.5)*0.5*B14)</f>
        <v>-380.540477750884</v>
      </c>
      <c r="C27" s="0" t="n">
        <f aca="false">-(C22*(1-0.2)*0.7*C12+(C23*(1-0.099)-C20*0.5)*0.5*C13+(C24*(1-0.099)-C21*0.5)*0.5*C14)</f>
        <v>-115774.993690175</v>
      </c>
      <c r="D27" s="0" t="n">
        <f aca="false">-(D22*(1-0.2)*0.7*D12+(D23*(1-0.099)-D20*0.5)*0.5*D13+(D24*(1-0.099)-D21*0.5)*0.5*D14)</f>
        <v>-2516445.96526484</v>
      </c>
      <c r="E27" s="0" t="n">
        <f aca="false">-(E22*(1-0.2)*0.7*E12+(E23*(1-0.099)-E20*0.5)*0.5*E13+(E24*(1-0.099)-E21*0.5)*0.5*E14)</f>
        <v>-131100928.685902</v>
      </c>
    </row>
    <row r="28" customFormat="false" ht="17.15" hidden="false" customHeight="false" outlineLevel="0" collapsed="false">
      <c r="A28" s="15" t="s">
        <v>140</v>
      </c>
      <c r="B28" s="7" t="n">
        <f aca="false">B25+B26+B27</f>
        <v>993.53631100506</v>
      </c>
      <c r="C28" s="7" t="n">
        <f aca="false">C25+C26+C27</f>
        <v>212515.82481461</v>
      </c>
      <c r="D28" s="7" t="n">
        <f aca="false">D25+D26+D27</f>
        <v>4530479.87640221</v>
      </c>
      <c r="E28" s="7" t="n">
        <f aca="false">E25+E26+E27</f>
        <v>234138192.818442</v>
      </c>
    </row>
    <row r="29" customFormat="false" ht="15" hidden="false" customHeight="false" outlineLevel="0" collapsed="false">
      <c r="A29" s="15" t="s">
        <v>141</v>
      </c>
      <c r="B29" s="7" t="n">
        <f aca="false">B28*12</f>
        <v>11922.4357320607</v>
      </c>
      <c r="C29" s="7" t="n">
        <f aca="false">C28*12</f>
        <v>2550189.89777532</v>
      </c>
      <c r="D29" s="7" t="n">
        <f aca="false">D28*12</f>
        <v>54365758.5168265</v>
      </c>
      <c r="E29" s="7" t="n">
        <f aca="false">E28*12</f>
        <v>2809658313.82131</v>
      </c>
    </row>
    <row r="31" customFormat="false" ht="17.15" hidden="false" customHeight="false" outlineLevel="0" collapsed="false">
      <c r="A31" s="3" t="s">
        <v>142</v>
      </c>
    </row>
    <row r="32" customFormat="false" ht="17.15" hidden="false" customHeight="false" outlineLevel="0" collapsed="false">
      <c r="A32" s="5" t="s">
        <v>143</v>
      </c>
      <c r="B32" s="8" t="n">
        <f aca="false">B28*1400</f>
        <v>1390950.83540708</v>
      </c>
      <c r="C32" s="8" t="n">
        <f aca="false">C28*1400</f>
        <v>297522154.740455</v>
      </c>
      <c r="D32" s="8" t="n">
        <f aca="false">D28*1400</f>
        <v>6342671826.96309</v>
      </c>
      <c r="E32" s="8" t="n">
        <f aca="false">E28*1400</f>
        <v>327793469945.819</v>
      </c>
    </row>
    <row r="33" customFormat="false" ht="17.15" hidden="false" customHeight="false" outlineLevel="0" collapsed="false">
      <c r="A33" s="5" t="s">
        <v>111</v>
      </c>
      <c r="B33" s="7" t="n">
        <f aca="false">B29*1400</f>
        <v>16691410.024885</v>
      </c>
      <c r="C33" s="7" t="n">
        <f aca="false">C29*1400</f>
        <v>3570265856.88545</v>
      </c>
      <c r="D33" s="7" t="n">
        <f aca="false">D29*1400</f>
        <v>76112061923.557</v>
      </c>
      <c r="E33" s="7" t="n">
        <f aca="false">E29*1400</f>
        <v>3933521639349.83</v>
      </c>
    </row>
    <row r="35" customFormat="false" ht="15" hidden="false" customHeight="false" outlineLevel="0" collapsed="false">
      <c r="A35" s="3" t="s">
        <v>144</v>
      </c>
    </row>
    <row r="36" customFormat="false" ht="17.15" hidden="false" customHeight="false" outlineLevel="0" collapsed="false">
      <c r="A36" s="20" t="s">
        <v>145</v>
      </c>
      <c r="B36" s="20"/>
      <c r="C36" s="20"/>
      <c r="D36" s="20"/>
      <c r="E36" s="20"/>
    </row>
    <row r="37" customFormat="false" ht="17.15" hidden="false" customHeight="false" outlineLevel="0" collapsed="false">
      <c r="A37" s="20" t="s">
        <v>146</v>
      </c>
      <c r="B37" s="20"/>
      <c r="C37" s="20"/>
      <c r="D37" s="20"/>
      <c r="E37" s="20"/>
    </row>
    <row r="38" customFormat="false" ht="17.15" hidden="false" customHeight="false" outlineLevel="0" collapsed="false">
      <c r="A38" s="21" t="s">
        <v>147</v>
      </c>
      <c r="B38" s="21"/>
      <c r="C38" s="21"/>
      <c r="D38" s="21"/>
      <c r="E38" s="21"/>
    </row>
    <row r="39" customFormat="false" ht="17.15" hidden="false" customHeight="false" outlineLevel="0" collapsed="false">
      <c r="A39" s="21" t="s">
        <v>148</v>
      </c>
      <c r="B39" s="21"/>
      <c r="C39" s="21"/>
      <c r="D39" s="21"/>
      <c r="E39" s="21"/>
    </row>
  </sheetData>
  <mergeCells count="6">
    <mergeCell ref="A1:E1"/>
    <mergeCell ref="A2:E2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4"/>
  </cols>
  <sheetData>
    <row r="1" customFormat="false" ht="24" hidden="false" customHeight="true" outlineLevel="0" collapsed="false">
      <c r="A1" s="22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customFormat="false" ht="17.15" hidden="false" customHeight="false" outlineLevel="0" collapsed="false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7.15" hidden="false" customHeight="false" outlineLevel="0" collapsed="false">
      <c r="A4" s="11" t="s">
        <v>151</v>
      </c>
      <c r="B4" s="13" t="s">
        <v>152</v>
      </c>
      <c r="C4" s="13" t="s">
        <v>153</v>
      </c>
      <c r="D4" s="13" t="s">
        <v>154</v>
      </c>
      <c r="E4" s="13" t="s">
        <v>155</v>
      </c>
      <c r="F4" s="13" t="s">
        <v>156</v>
      </c>
      <c r="G4" s="13" t="s">
        <v>157</v>
      </c>
      <c r="H4" s="13" t="s">
        <v>158</v>
      </c>
      <c r="I4" s="13" t="s">
        <v>159</v>
      </c>
      <c r="J4" s="11" t="s">
        <v>160</v>
      </c>
      <c r="K4" s="11" t="s">
        <v>161</v>
      </c>
      <c r="L4" s="11" t="s">
        <v>162</v>
      </c>
    </row>
    <row r="5" customFormat="false" ht="15" hidden="false" customHeight="false" outlineLevel="0" collapsed="false">
      <c r="A5" s="23" t="s">
        <v>163</v>
      </c>
      <c r="B5" s="0" t="n">
        <f aca="false">가정값!$B$34</f>
        <v>30</v>
      </c>
      <c r="C5" s="0" t="n">
        <f aca="false">가정값!$B$35</f>
        <v>12</v>
      </c>
      <c r="D5" s="0" t="n">
        <f aca="false">가정값!$B$36</f>
        <v>3</v>
      </c>
      <c r="E5" s="0" t="n">
        <f aca="false">B5*15</f>
        <v>450</v>
      </c>
      <c r="F5" s="0" t="n">
        <f aca="false">C5*24</f>
        <v>288</v>
      </c>
      <c r="G5" s="0" t="n">
        <f aca="false">D5*29</f>
        <v>87</v>
      </c>
      <c r="H5" s="8" t="n">
        <f aca="false">E5+F5+G5</f>
        <v>825</v>
      </c>
      <c r="I5" s="0" t="n">
        <f aca="false">-(E5*0.2+F5*0.099+C5*0.5+G5*0.099+D5*0.5)</f>
        <v>-134.625</v>
      </c>
      <c r="J5" s="0" t="n">
        <f aca="false">-(E5*(1-0.2)*0.7*가정값!$B$28+(F5*(1-0.099)-C5*0.5)*0.5*가정값!$B$29+(G5*(1-0.099)-D5*0.5)*0.5*가정값!$B$30)</f>
        <v>-243.46755</v>
      </c>
      <c r="K5" s="7" t="n">
        <f aca="false">H5+I5+J5</f>
        <v>446.90745</v>
      </c>
      <c r="L5" s="0" t="n">
        <f aca="false">IF(H5&gt;0,K5/H5,0)</f>
        <v>0.541706</v>
      </c>
    </row>
    <row r="6" customFormat="false" ht="15" hidden="false" customHeight="false" outlineLevel="0" collapsed="false">
      <c r="A6" s="24" t="s">
        <v>164</v>
      </c>
      <c r="B6" s="0" t="n">
        <f aca="false">가정값!$B$34</f>
        <v>30</v>
      </c>
      <c r="C6" s="0" t="n">
        <f aca="false">가정값!$B$35</f>
        <v>12</v>
      </c>
      <c r="D6" s="0" t="n">
        <f aca="false">가정값!$B$36</f>
        <v>3</v>
      </c>
      <c r="E6" s="0" t="n">
        <f aca="false">B6*15</f>
        <v>450</v>
      </c>
      <c r="F6" s="0" t="n">
        <f aca="false">C6*24</f>
        <v>288</v>
      </c>
      <c r="G6" s="0" t="n">
        <f aca="false">D6*29</f>
        <v>87</v>
      </c>
      <c r="H6" s="8" t="n">
        <f aca="false">E6+F6+G6</f>
        <v>825</v>
      </c>
      <c r="I6" s="0" t="n">
        <f aca="false">-(E6*0.2+F6*0.099+C6*0.5+G6*0.099+D6*0.5)</f>
        <v>-134.625</v>
      </c>
      <c r="J6" s="0" t="n">
        <f aca="false">-(E6*(1-0.2)*0.7*가정값!$B$28+(F6*(1-0.099)-C6*0.5)*0.5*가정값!$B$29+(G6*(1-0.099)-D6*0.5)*0.5*가정값!$B$30)</f>
        <v>-243.46755</v>
      </c>
      <c r="K6" s="7" t="n">
        <f aca="false">H6+I6+J6</f>
        <v>446.90745</v>
      </c>
      <c r="L6" s="0" t="n">
        <f aca="false">IF(H6&gt;0,K6/H6,0)</f>
        <v>0.541706</v>
      </c>
    </row>
    <row r="7" customFormat="false" ht="15" hidden="false" customHeight="false" outlineLevel="0" collapsed="false">
      <c r="A7" s="25" t="s">
        <v>165</v>
      </c>
      <c r="B7" s="0" t="n">
        <f aca="false">가정값!$B$34</f>
        <v>30</v>
      </c>
      <c r="C7" s="0" t="n">
        <f aca="false">가정값!$B$35</f>
        <v>12</v>
      </c>
      <c r="D7" s="0" t="n">
        <f aca="false">가정값!$B$36</f>
        <v>3</v>
      </c>
      <c r="E7" s="0" t="n">
        <f aca="false">B7*15</f>
        <v>450</v>
      </c>
      <c r="F7" s="0" t="n">
        <f aca="false">C7*24</f>
        <v>288</v>
      </c>
      <c r="G7" s="0" t="n">
        <f aca="false">D7*29</f>
        <v>87</v>
      </c>
      <c r="H7" s="8" t="n">
        <f aca="false">E7+F7+G7</f>
        <v>825</v>
      </c>
      <c r="I7" s="0" t="n">
        <f aca="false">-(E7*0.2+F7*0.099+C7*0.5+G7*0.099+D7*0.5)</f>
        <v>-134.625</v>
      </c>
      <c r="J7" s="0" t="n">
        <f aca="false">-(E7*(1-0.2)*0.7*가정값!$B$28+(F7*(1-0.099)-C7*0.5)*0.5*가정값!$B$29+(G7*(1-0.099)-D7*0.5)*0.5*가정값!$B$30)</f>
        <v>-243.46755</v>
      </c>
      <c r="K7" s="7" t="n">
        <f aca="false">H7+I7+J7</f>
        <v>446.90745</v>
      </c>
      <c r="L7" s="0" t="n">
        <f aca="false">IF(H7&gt;0,K7/H7,0)</f>
        <v>0.541706</v>
      </c>
    </row>
    <row r="8" customFormat="false" ht="15" hidden="false" customHeight="false" outlineLevel="0" collapsed="false">
      <c r="A8" s="26" t="s">
        <v>166</v>
      </c>
      <c r="B8" s="0" t="n">
        <f aca="false">가정값!$B$34</f>
        <v>30</v>
      </c>
      <c r="C8" s="0" t="n">
        <f aca="false">가정값!$B$35</f>
        <v>12</v>
      </c>
      <c r="D8" s="0" t="n">
        <f aca="false">가정값!$B$36</f>
        <v>3</v>
      </c>
      <c r="E8" s="0" t="n">
        <f aca="false">B8*15</f>
        <v>450</v>
      </c>
      <c r="F8" s="0" t="n">
        <f aca="false">C8*24</f>
        <v>288</v>
      </c>
      <c r="G8" s="0" t="n">
        <f aca="false">D8*29</f>
        <v>87</v>
      </c>
      <c r="H8" s="8" t="n">
        <f aca="false">E8+F8+G8</f>
        <v>825</v>
      </c>
      <c r="I8" s="0" t="n">
        <f aca="false">-(E8*0.2+F8*0.099+C8*0.5+G8*0.099+D8*0.5)</f>
        <v>-134.625</v>
      </c>
      <c r="J8" s="0" t="n">
        <f aca="false">-(E8*(1-0.2)*0.7*가정값!$B$28+(F8*(1-0.099)-C8*0.5)*0.5*가정값!$B$29+(G8*(1-0.099)-D8*0.5)*0.5*가정값!$B$30)</f>
        <v>-243.46755</v>
      </c>
      <c r="K8" s="7" t="n">
        <f aca="false">H8+I8+J8</f>
        <v>446.90745</v>
      </c>
      <c r="L8" s="0" t="n">
        <f aca="false">IF(H8&gt;0,K8/H8,0)</f>
        <v>0.541706</v>
      </c>
    </row>
    <row r="9" customFormat="false" ht="15" hidden="false" customHeight="false" outlineLevel="0" collapsed="false">
      <c r="A9" s="27" t="s">
        <v>167</v>
      </c>
      <c r="B9" s="0" t="n">
        <f aca="false">가정값!$B$34</f>
        <v>30</v>
      </c>
      <c r="C9" s="0" t="n">
        <f aca="false">가정값!$B$35</f>
        <v>12</v>
      </c>
      <c r="D9" s="0" t="n">
        <f aca="false">가정값!$B$36</f>
        <v>3</v>
      </c>
      <c r="E9" s="0" t="n">
        <f aca="false">B9*15</f>
        <v>450</v>
      </c>
      <c r="F9" s="0" t="n">
        <f aca="false">C9*24</f>
        <v>288</v>
      </c>
      <c r="G9" s="0" t="n">
        <f aca="false">D9*29</f>
        <v>87</v>
      </c>
      <c r="H9" s="8" t="n">
        <f aca="false">E9+F9+G9</f>
        <v>825</v>
      </c>
      <c r="I9" s="0" t="n">
        <f aca="false">-(E9*0.2+F9*0.099+C9*0.5+G9*0.099+D9*0.5)</f>
        <v>-134.625</v>
      </c>
      <c r="J9" s="0" t="n">
        <f aca="false">-(E9*(1-0.2)*0.7*가정값!$B$28+(F9*(1-0.099)-C9*0.5)*0.5*가정값!$B$29+(G9*(1-0.099)-D9*0.5)*0.5*가정값!$B$30)</f>
        <v>-243.46755</v>
      </c>
      <c r="K9" s="7" t="n">
        <f aca="false">H9+I9+J9</f>
        <v>446.90745</v>
      </c>
      <c r="L9" s="0" t="n">
        <f aca="false">IF(H9&gt;0,K9/H9,0)</f>
        <v>0.541706</v>
      </c>
    </row>
    <row r="10" customFormat="false" ht="15" hidden="false" customHeight="false" outlineLevel="0" collapsed="false">
      <c r="A10" s="28" t="s">
        <v>168</v>
      </c>
      <c r="B10" s="0" t="n">
        <f aca="false">가정값!$B$34</f>
        <v>30</v>
      </c>
      <c r="C10" s="0" t="n">
        <f aca="false">가정값!$B$35</f>
        <v>12</v>
      </c>
      <c r="D10" s="0" t="n">
        <f aca="false">가정값!$B$36</f>
        <v>3</v>
      </c>
      <c r="E10" s="0" t="n">
        <f aca="false">B10*15</f>
        <v>450</v>
      </c>
      <c r="F10" s="0" t="n">
        <f aca="false">C10*24</f>
        <v>288</v>
      </c>
      <c r="G10" s="0" t="n">
        <f aca="false">D10*29</f>
        <v>87</v>
      </c>
      <c r="H10" s="8" t="n">
        <f aca="false">E10+F10+G10</f>
        <v>825</v>
      </c>
      <c r="I10" s="0" t="n">
        <f aca="false">-(E10*0.2+F10*0.099+C10*0.5+G10*0.099+D10*0.5)</f>
        <v>-134.625</v>
      </c>
      <c r="J10" s="0" t="n">
        <f aca="false">-(E10*(1-0.2)*0.7*가정값!$B$28+(F10*(1-0.099)-C10*0.5)*0.5*가정값!$B$29+(G10*(1-0.099)-D10*0.5)*0.5*가정값!$B$30)</f>
        <v>-243.46755</v>
      </c>
      <c r="K10" s="7" t="n">
        <f aca="false">H10+I10+J10</f>
        <v>446.90745</v>
      </c>
      <c r="L10" s="0" t="n">
        <f aca="false">IF(H10&gt;0,K10/H10,0)</f>
        <v>0.541706</v>
      </c>
    </row>
    <row r="11" customFormat="false" ht="15" hidden="false" customHeight="false" outlineLevel="0" collapsed="false">
      <c r="A11" s="29" t="s">
        <v>169</v>
      </c>
      <c r="B11" s="0" t="n">
        <f aca="false">가정값!$B$34</f>
        <v>30</v>
      </c>
      <c r="C11" s="0" t="n">
        <f aca="false">가정값!$B$35</f>
        <v>12</v>
      </c>
      <c r="D11" s="0" t="n">
        <f aca="false">가정값!$B$36</f>
        <v>3</v>
      </c>
      <c r="E11" s="0" t="n">
        <f aca="false">B11*15</f>
        <v>450</v>
      </c>
      <c r="F11" s="0" t="n">
        <f aca="false">C11*24</f>
        <v>288</v>
      </c>
      <c r="G11" s="0" t="n">
        <f aca="false">D11*29</f>
        <v>87</v>
      </c>
      <c r="H11" s="8" t="n">
        <f aca="false">E11+F11+G11</f>
        <v>825</v>
      </c>
      <c r="I11" s="0" t="n">
        <f aca="false">-(E11*0.2+F11*0.099+C11*0.5+G11*0.099+D11*0.5)</f>
        <v>-134.625</v>
      </c>
      <c r="J11" s="0" t="n">
        <f aca="false">-(E11*(1-0.2)*0.7*가정값!$B$28+(F11*(1-0.099)-C11*0.5)*0.5*가정값!$B$29+(G11*(1-0.099)-D11*0.5)*0.5*가정값!$B$30)</f>
        <v>-243.46755</v>
      </c>
      <c r="K11" s="7" t="n">
        <f aca="false">H11+I11+J11</f>
        <v>446.90745</v>
      </c>
      <c r="L11" s="0" t="n">
        <f aca="false">IF(H11&gt;0,K11/H11,0)</f>
        <v>0.541706</v>
      </c>
    </row>
    <row r="12" customFormat="false" ht="15" hidden="false" customHeight="false" outlineLevel="0" collapsed="false">
      <c r="A12" s="30" t="s">
        <v>170</v>
      </c>
      <c r="B12" s="0" t="n">
        <f aca="false">가정값!$B$34</f>
        <v>30</v>
      </c>
      <c r="C12" s="0" t="n">
        <f aca="false">가정값!$B$35</f>
        <v>12</v>
      </c>
      <c r="D12" s="0" t="n">
        <f aca="false">가정값!$B$36</f>
        <v>3</v>
      </c>
      <c r="E12" s="0" t="n">
        <f aca="false">B12*15</f>
        <v>450</v>
      </c>
      <c r="F12" s="0" t="n">
        <f aca="false">C12*24</f>
        <v>288</v>
      </c>
      <c r="G12" s="0" t="n">
        <f aca="false">D12*29</f>
        <v>87</v>
      </c>
      <c r="H12" s="8" t="n">
        <f aca="false">E12+F12+G12</f>
        <v>825</v>
      </c>
      <c r="I12" s="0" t="n">
        <f aca="false">-(E12*0.2+F12*0.099+C12*0.5+G12*0.099+D12*0.5)</f>
        <v>-134.625</v>
      </c>
      <c r="J12" s="0" t="n">
        <f aca="false">-(E12*(1-0.2)*0.7*가정값!$B$28+(F12*(1-0.099)-C12*0.5)*0.5*가정값!$B$29+(G12*(1-0.099)-D12*0.5)*0.5*가정값!$B$30)</f>
        <v>-243.46755</v>
      </c>
      <c r="K12" s="7" t="n">
        <f aca="false">H12+I12+J12</f>
        <v>446.90745</v>
      </c>
      <c r="L12" s="0" t="n">
        <f aca="false">IF(H12&gt;0,K12/H12,0)</f>
        <v>0.541706</v>
      </c>
    </row>
    <row r="14" customFormat="false" ht="17.15" hidden="false" customHeight="false" outlineLevel="0" collapsed="false">
      <c r="A14" s="31" t="s">
        <v>171</v>
      </c>
      <c r="B14" s="14" t="n">
        <f aca="false">SUM(B5:B13)</f>
        <v>240</v>
      </c>
      <c r="C14" s="14" t="n">
        <f aca="false">SUM(C5:C13)</f>
        <v>96</v>
      </c>
      <c r="D14" s="14" t="n">
        <f aca="false">SUM(D5:D13)</f>
        <v>24</v>
      </c>
      <c r="E14" s="14" t="n">
        <f aca="false">SUM(E5:E13)</f>
        <v>3600</v>
      </c>
      <c r="F14" s="14" t="n">
        <f aca="false">SUM(F5:F13)</f>
        <v>2304</v>
      </c>
      <c r="G14" s="14" t="n">
        <f aca="false">SUM(G5:G13)</f>
        <v>696</v>
      </c>
      <c r="H14" s="14" t="n">
        <f aca="false">SUM(H5:H13)</f>
        <v>6600</v>
      </c>
      <c r="I14" s="14" t="n">
        <f aca="false">SUM(I5:I13)</f>
        <v>-1077</v>
      </c>
      <c r="J14" s="14" t="n">
        <f aca="false">SUM(J5:J13)</f>
        <v>-1947.7404</v>
      </c>
      <c r="K14" s="14" t="n">
        <f aca="false">SUM(K5:K13)</f>
        <v>3575.2596</v>
      </c>
      <c r="L14" s="14" t="n">
        <f aca="false">IF(H14&gt;0,K14/H14,0)</f>
        <v>0.541706</v>
      </c>
    </row>
    <row r="16" customFormat="false" ht="17.15" hidden="false" customHeight="false" outlineLevel="0" collapsed="false">
      <c r="A16" s="3" t="s">
        <v>172</v>
      </c>
    </row>
    <row r="17" customFormat="false" ht="17.15" hidden="false" customHeight="false" outlineLevel="0" collapsed="false">
      <c r="A17" s="0" t="s">
        <v>173</v>
      </c>
      <c r="B17" s="7" t="n">
        <f aca="false">가정값!B45</f>
        <v>3.6</v>
      </c>
    </row>
    <row r="18" customFormat="false" ht="17.15" hidden="false" customHeight="false" outlineLevel="0" collapsed="false">
      <c r="A18" s="0" t="s">
        <v>174</v>
      </c>
      <c r="B18" s="7" t="n">
        <f aca="false">가정값!B46</f>
        <v>10.562</v>
      </c>
    </row>
    <row r="19" customFormat="false" ht="17.15" hidden="false" customHeight="false" outlineLevel="0" collapsed="false">
      <c r="A19" s="0" t="s">
        <v>175</v>
      </c>
      <c r="B19" s="7" t="n">
        <f aca="false">가정값!B47</f>
        <v>12.8145</v>
      </c>
    </row>
    <row r="20" customFormat="false" ht="17.15" hidden="false" customHeight="false" outlineLevel="0" collapsed="false">
      <c r="A20" s="5" t="s">
        <v>176</v>
      </c>
      <c r="B20" s="7" t="n">
        <f aca="false">K14</f>
        <v>3575.2596</v>
      </c>
    </row>
    <row r="21" customFormat="false" ht="17.15" hidden="false" customHeight="false" outlineLevel="0" collapsed="false">
      <c r="A21" s="5" t="s">
        <v>177</v>
      </c>
      <c r="B21" s="7" t="n">
        <f aca="false">K14*1400</f>
        <v>5005363.44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2026-02-21T05:22:41Z</dcterms:created>
  <dc:creator>openpyxl</dc:creator>
  <dc:description/>
  <dc:language>en-US</dc:language>
  <cp:lastModifiedBy/>
  <dcterms:modified xsi:type="dcterms:W3CDTF">2026-02-21T05:22:41Z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