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 핵심 가정" sheetId="1" state="visible" r:id="rId3"/>
    <sheet name="② 월별 시뮬레이션" sheetId="2" state="visible" r:id="rId4"/>
    <sheet name="③ 바이럴 시나리오" sheetId="3" state="visible" r:id="rId5"/>
    <sheet name="④ 손익분기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<sst xmlns="http://schemas.openxmlformats.org/spreadsheetml/2006/main" count="206" uniqueCount="174">
  <si>
    <r>
      <rPr>
        <b val="true"/>
        <sz val="14"/>
        <color rgb="FFFFFFFF"/>
        <rFont val="Arial"/>
        <family val="0"/>
        <charset val="1"/>
      </rPr>
      <t xml:space="preserve">SHADOWGRAM · </t>
    </r>
    <r>
      <rPr>
        <b val="true"/>
        <sz val="14"/>
        <color rgb="FFFFFFFF"/>
        <rFont val="Noto Sans CJK KR"/>
        <family val="2"/>
      </rPr>
      <t xml:space="preserve">수익 시뮬레이션 핵심 가정</t>
    </r>
  </si>
  <si>
    <r>
      <rPr>
        <sz val="9"/>
        <color rgb="FF666666"/>
        <rFont val="Noto Sans CJK KR"/>
        <family val="2"/>
      </rPr>
      <t xml:space="preserve">파란 텍스트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Noto Sans CJK KR"/>
        <family val="2"/>
      </rPr>
      <t xml:space="preserve">입력값 변경 가능  </t>
    </r>
    <r>
      <rPr>
        <sz val="9"/>
        <color rgb="FF666666"/>
        <rFont val="Arial"/>
        <family val="0"/>
        <charset val="1"/>
      </rPr>
      <t xml:space="preserve">|  </t>
    </r>
    <r>
      <rPr>
        <sz val="9"/>
        <color rgb="FF666666"/>
        <rFont val="Noto Sans CJK KR"/>
        <family val="2"/>
      </rPr>
      <t xml:space="preserve">검정 텍스트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Noto Sans CJK KR"/>
        <family val="2"/>
      </rPr>
      <t xml:space="preserve">자동 계산  </t>
    </r>
    <r>
      <rPr>
        <sz val="9"/>
        <color rgb="FF666666"/>
        <rFont val="Arial"/>
        <family val="0"/>
        <charset val="1"/>
      </rPr>
      <t xml:space="preserve">|  </t>
    </r>
    <r>
      <rPr>
        <sz val="9"/>
        <color rgb="FF666666"/>
        <rFont val="Noto Sans CJK KR"/>
        <family val="2"/>
      </rPr>
      <t xml:space="preserve">노란 배경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Noto Sans CJK KR"/>
        <family val="2"/>
      </rPr>
      <t xml:space="preserve">주요 가정셀</t>
    </r>
  </si>
  <si>
    <r>
      <rPr>
        <b val="true"/>
        <sz val="12"/>
        <color rgb="FFFFFFFF"/>
        <rFont val="Noto Sans CJK KR"/>
        <family val="2"/>
      </rPr>
      <t xml:space="preserve">📦 상품 가격 구조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Noto Sans CJK KR"/>
        <family val="2"/>
      </rPr>
      <t xml:space="preserve">번들 단위 판매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</si>
  <si>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상품</t>
  </si>
  <si>
    <r>
      <rPr>
        <b val="true"/>
        <sz val="10"/>
        <color rgb="FFFFFFFF"/>
        <rFont val="Noto Sans CJK KR"/>
        <family val="2"/>
      </rPr>
      <t xml:space="preserve">가격</t>
    </r>
    <r>
      <rPr>
        <b val="true"/>
        <sz val="10"/>
        <color rgb="FFFFFFFF"/>
        <rFont val="Arial"/>
        <family val="0"/>
        <charset val="1"/>
      </rPr>
      <t xml:space="preserve">($)</t>
    </r>
  </si>
  <si>
    <t xml:space="preserve">번들 구성</t>
  </si>
  <si>
    <t xml:space="preserve">비고</t>
  </si>
  <si>
    <t xml:space="preserve">T1 + App A</t>
  </si>
  <si>
    <t xml:space="preserve">T1 Basic + StormBreaker</t>
  </si>
  <si>
    <r>
      <rPr>
        <sz val="9"/>
        <color rgb="FFE94560"/>
        <rFont val="Noto Sans CJK KR"/>
        <family val="2"/>
      </rPr>
      <t xml:space="preserve">진입 번들 </t>
    </r>
    <r>
      <rPr>
        <sz val="9"/>
        <color rgb="FFE94560"/>
        <rFont val="Arial"/>
        <family val="0"/>
        <charset val="1"/>
      </rPr>
      <t xml:space="preserve">(</t>
    </r>
    <r>
      <rPr>
        <sz val="9"/>
        <color rgb="FFE94560"/>
        <rFont val="Noto Sans CJK KR"/>
        <family val="2"/>
      </rPr>
      <t xml:space="preserve">트립와이어</t>
    </r>
    <r>
      <rPr>
        <sz val="9"/>
        <color rgb="FFE94560"/>
        <rFont val="Arial"/>
        <family val="0"/>
        <charset val="1"/>
      </rPr>
      <t xml:space="preserve">)</t>
    </r>
  </si>
  <si>
    <t xml:space="preserve">T2 + App B</t>
  </si>
  <si>
    <t xml:space="preserve">T2 Deep + ClimateChanger</t>
  </si>
  <si>
    <t xml:space="preserve">중간 업셀 번들</t>
  </si>
  <si>
    <t xml:space="preserve">T3 + App C</t>
  </si>
  <si>
    <t xml:space="preserve">T3 Master + HarvestMoon</t>
  </si>
  <si>
    <t xml:space="preserve">프리미엄 번들</t>
  </si>
  <si>
    <t xml:space="preserve">Ultimate Pack</t>
  </si>
  <si>
    <r>
      <rPr>
        <sz val="9"/>
        <color rgb="FF444444"/>
        <rFont val="Arial"/>
        <family val="0"/>
        <charset val="1"/>
      </rPr>
      <t xml:space="preserve">6</t>
    </r>
    <r>
      <rPr>
        <sz val="9"/>
        <color rgb="FF444444"/>
        <rFont val="Noto Sans CJK KR"/>
        <family val="2"/>
      </rPr>
      <t xml:space="preserve">종 완전판 </t>
    </r>
    <r>
      <rPr>
        <sz val="9"/>
        <color rgb="FF444444"/>
        <rFont val="Arial"/>
        <family val="0"/>
        <charset val="1"/>
      </rPr>
      <t xml:space="preserve">(T1~T3+A~C)</t>
    </r>
  </si>
  <si>
    <t xml:space="preserve">앵커 상품</t>
  </si>
  <si>
    <r>
      <rPr>
        <b val="true"/>
        <sz val="12"/>
        <color rgb="FFFFFFFF"/>
        <rFont val="Noto Sans CJK KR"/>
        <family val="2"/>
      </rPr>
      <t xml:space="preserve">📊 트래픽 </t>
    </r>
    <r>
      <rPr>
        <b val="true"/>
        <sz val="12"/>
        <color rgb="FFFFFFFF"/>
        <rFont val="Arial"/>
        <family val="0"/>
        <charset val="1"/>
      </rPr>
      <t xml:space="preserve">&amp; </t>
    </r>
    <r>
      <rPr>
        <b val="true"/>
        <sz val="12"/>
        <color rgb="FFFFFFFF"/>
        <rFont val="Noto Sans CJK KR"/>
        <family val="2"/>
      </rPr>
      <t xml:space="preserve">전환율 가정</t>
    </r>
  </si>
  <si>
    <t xml:space="preserve">항목</t>
  </si>
  <si>
    <t xml:space="preserve">값</t>
  </si>
  <si>
    <t xml:space="preserve">단위</t>
  </si>
  <si>
    <t xml:space="preserve">설명</t>
  </si>
  <si>
    <r>
      <rPr>
        <sz val="10"/>
        <color rgb="FF000000"/>
        <rFont val="Noto Sans CJK KR"/>
        <family val="2"/>
      </rPr>
      <t xml:space="preserve">검사 완료 →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구매율</t>
    </r>
  </si>
  <si>
    <t xml:space="preserve">%</t>
  </si>
  <si>
    <r>
      <rPr>
        <sz val="9"/>
        <color rgb="FF444444"/>
        <rFont val="Noto Sans CJK KR"/>
        <family val="2"/>
      </rPr>
      <t xml:space="preserve">무료검사 완료자 중 </t>
    </r>
    <r>
      <rPr>
        <sz val="9"/>
        <color rgb="FF444444"/>
        <rFont val="Arial"/>
        <family val="0"/>
        <charset val="1"/>
      </rPr>
      <t xml:space="preserve">3.5% </t>
    </r>
    <r>
      <rPr>
        <sz val="9"/>
        <color rgb="FF444444"/>
        <rFont val="Noto Sans CJK KR"/>
        <family val="2"/>
      </rPr>
      <t xml:space="preserve">구매</t>
    </r>
  </si>
  <si>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구매자 → </t>
    </r>
    <r>
      <rPr>
        <sz val="10"/>
        <color rgb="FF000000"/>
        <rFont val="Arial"/>
        <family val="0"/>
        <charset val="1"/>
      </rPr>
      <t xml:space="preserve">OTO </t>
    </r>
    <r>
      <rPr>
        <sz val="10"/>
        <color rgb="FF000000"/>
        <rFont val="Noto Sans CJK KR"/>
        <family val="2"/>
      </rPr>
      <t xml:space="preserve">전환</t>
    </r>
  </si>
  <si>
    <r>
      <rPr>
        <sz val="9"/>
        <color rgb="FF444444"/>
        <rFont val="Arial"/>
        <family val="0"/>
        <charset val="1"/>
      </rPr>
      <t xml:space="preserve">T2+AppB </t>
    </r>
    <r>
      <rPr>
        <sz val="9"/>
        <color rgb="FF444444"/>
        <rFont val="Noto Sans CJK KR"/>
        <family val="2"/>
      </rPr>
      <t xml:space="preserve">즉시 업셀 </t>
    </r>
    <r>
      <rPr>
        <sz val="9"/>
        <color rgb="FF444444"/>
        <rFont val="Arial"/>
        <family val="0"/>
        <charset val="1"/>
      </rPr>
      <t xml:space="preserve">24%</t>
    </r>
  </si>
  <si>
    <r>
      <rPr>
        <sz val="10"/>
        <color rgb="FF000000"/>
        <rFont val="Noto Sans CJK KR"/>
        <family val="2"/>
      </rPr>
      <t xml:space="preserve">이메일 → </t>
    </r>
    <r>
      <rPr>
        <sz val="10"/>
        <color rgb="FF000000"/>
        <rFont val="Arial"/>
        <family val="0"/>
        <charset val="1"/>
      </rPr>
      <t xml:space="preserve">T3 </t>
    </r>
    <r>
      <rPr>
        <sz val="10"/>
        <color rgb="FF000000"/>
        <rFont val="Noto Sans CJK KR"/>
        <family val="2"/>
      </rPr>
      <t xml:space="preserve">번들 전환</t>
    </r>
  </si>
  <si>
    <r>
      <rPr>
        <sz val="9"/>
        <color rgb="FF444444"/>
        <rFont val="Noto Sans CJK KR"/>
        <family val="2"/>
      </rPr>
      <t xml:space="preserve">시퀀스 통한 </t>
    </r>
    <r>
      <rPr>
        <sz val="9"/>
        <color rgb="FF444444"/>
        <rFont val="Arial"/>
        <family val="0"/>
        <charset val="1"/>
      </rPr>
      <t xml:space="preserve">T3+AppC 10%</t>
    </r>
  </si>
  <si>
    <t xml:space="preserve">이메일 → 얼티밋 전환</t>
  </si>
  <si>
    <r>
      <rPr>
        <sz val="9"/>
        <color rgb="FF444444"/>
        <rFont val="Arial"/>
        <family val="0"/>
        <charset val="1"/>
      </rPr>
      <t xml:space="preserve">Day 9 </t>
    </r>
    <r>
      <rPr>
        <sz val="9"/>
        <color rgb="FF444444"/>
        <rFont val="Noto Sans CJK KR"/>
        <family val="2"/>
      </rPr>
      <t xml:space="preserve">얼티밋팩 </t>
    </r>
    <r>
      <rPr>
        <sz val="9"/>
        <color rgb="FF444444"/>
        <rFont val="Arial"/>
        <family val="0"/>
        <charset val="1"/>
      </rPr>
      <t xml:space="preserve">5%</t>
    </r>
  </si>
  <si>
    <t xml:space="preserve">핫마트 수수료</t>
  </si>
  <si>
    <r>
      <rPr>
        <sz val="9"/>
        <color rgb="FF444444"/>
        <rFont val="Noto Sans CJK KR"/>
        <family val="2"/>
      </rPr>
      <t xml:space="preserve">거래액의 </t>
    </r>
    <r>
      <rPr>
        <sz val="9"/>
        <color rgb="FF444444"/>
        <rFont val="Arial"/>
        <family val="0"/>
        <charset val="1"/>
      </rPr>
      <t xml:space="preserve">9.9%</t>
    </r>
  </si>
  <si>
    <r>
      <rPr>
        <sz val="10"/>
        <color rgb="FF000000"/>
        <rFont val="Noto Sans CJK KR"/>
        <family val="2"/>
      </rPr>
      <t xml:space="preserve">광고 → 검사완료 </t>
    </r>
    <r>
      <rPr>
        <sz val="10"/>
        <color rgb="FF000000"/>
        <rFont val="Arial"/>
        <family val="0"/>
        <charset val="1"/>
      </rPr>
      <t xml:space="preserve">CPC</t>
    </r>
  </si>
  <si>
    <t xml:space="preserve">$</t>
  </si>
  <si>
    <r>
      <rPr>
        <sz val="9"/>
        <color rgb="FF444444"/>
        <rFont val="Noto Sans CJK KR"/>
        <family val="2"/>
      </rPr>
      <t xml:space="preserve">광고비</t>
    </r>
    <r>
      <rPr>
        <sz val="9"/>
        <color rgb="FF444444"/>
        <rFont val="Arial"/>
        <family val="0"/>
        <charset val="1"/>
      </rPr>
      <t xml:space="preserve">/</t>
    </r>
    <r>
      <rPr>
        <sz val="9"/>
        <color rgb="FF444444"/>
        <rFont val="Noto Sans CJK KR"/>
        <family val="2"/>
      </rPr>
      <t xml:space="preserve">검사완료자 당 </t>
    </r>
    <r>
      <rPr>
        <sz val="9"/>
        <color rgb="FF444444"/>
        <rFont val="Arial"/>
        <family val="0"/>
        <charset val="1"/>
      </rPr>
      <t xml:space="preserve">$0.30</t>
    </r>
  </si>
  <si>
    <r>
      <rPr>
        <b val="true"/>
        <sz val="12"/>
        <color rgb="FFFFFFFF"/>
        <rFont val="Noto Sans CJK KR"/>
        <family val="2"/>
      </rPr>
      <t xml:space="preserve">💰 고객당 평균 수익 </t>
    </r>
    <r>
      <rPr>
        <b val="true"/>
        <sz val="12"/>
        <color rgb="FFFFFFFF"/>
        <rFont val="Arial"/>
        <family val="0"/>
        <charset val="1"/>
      </rPr>
      <t xml:space="preserve">(AOV) — </t>
    </r>
    <r>
      <rPr>
        <b val="true"/>
        <sz val="12"/>
        <color rgb="FFFFFFFF"/>
        <rFont val="Noto Sans CJK KR"/>
        <family val="2"/>
      </rPr>
      <t xml:space="preserve">자동계산</t>
    </r>
  </si>
  <si>
    <r>
      <rPr>
        <b val="true"/>
        <sz val="10"/>
        <color rgb="FF2C3E50"/>
        <rFont val="Arial"/>
        <family val="0"/>
        <charset val="1"/>
      </rPr>
      <t xml:space="preserve">T1 </t>
    </r>
    <r>
      <rPr>
        <b val="true"/>
        <sz val="10"/>
        <color rgb="FF2C3E50"/>
        <rFont val="Noto Sans CJK KR"/>
        <family val="2"/>
      </rPr>
      <t xml:space="preserve">구매 </t>
    </r>
    <r>
      <rPr>
        <b val="true"/>
        <sz val="10"/>
        <color rgb="FF2C3E50"/>
        <rFont val="Arial"/>
        <family val="0"/>
        <charset val="1"/>
      </rPr>
      <t xml:space="preserve">100</t>
    </r>
    <r>
      <rPr>
        <b val="true"/>
        <sz val="10"/>
        <color rgb="FF2C3E50"/>
        <rFont val="Noto Sans CJK KR"/>
        <family val="2"/>
      </rPr>
      <t xml:space="preserve">명 기준</t>
    </r>
  </si>
  <si>
    <r>
      <rPr>
        <sz val="10"/>
        <color rgb="FF000000"/>
        <rFont val="Arial"/>
        <family val="0"/>
        <charset val="1"/>
      </rPr>
      <t xml:space="preserve">T1+AppA </t>
    </r>
    <r>
      <rPr>
        <sz val="10"/>
        <color rgb="FF000000"/>
        <rFont val="Noto Sans CJK KR"/>
        <family val="2"/>
      </rPr>
      <t xml:space="preserve">번들 수익</t>
    </r>
  </si>
  <si>
    <r>
      <rPr>
        <sz val="10"/>
        <color rgb="FF000000"/>
        <rFont val="Arial"/>
        <family val="0"/>
        <charset val="1"/>
      </rPr>
      <t xml:space="preserve">OTO </t>
    </r>
    <r>
      <rPr>
        <sz val="10"/>
        <color rgb="FF000000"/>
        <rFont val="Noto Sans CJK KR"/>
        <family val="2"/>
      </rPr>
      <t xml:space="preserve">전환 수익 </t>
    </r>
    <r>
      <rPr>
        <sz val="10"/>
        <color rgb="FF000000"/>
        <rFont val="Arial"/>
        <family val="0"/>
        <charset val="1"/>
      </rPr>
      <t xml:space="preserve">(T2+AppB)</t>
    </r>
  </si>
  <si>
    <r>
      <rPr>
        <sz val="10"/>
        <color rgb="FF000000"/>
        <rFont val="Noto Sans CJK KR"/>
        <family val="2"/>
      </rPr>
      <t xml:space="preserve">이메일 </t>
    </r>
    <r>
      <rPr>
        <sz val="10"/>
        <color rgb="FF000000"/>
        <rFont val="Arial"/>
        <family val="0"/>
        <charset val="1"/>
      </rPr>
      <t xml:space="preserve">T3+AppC </t>
    </r>
    <r>
      <rPr>
        <sz val="10"/>
        <color rgb="FF000000"/>
        <rFont val="Noto Sans CJK KR"/>
        <family val="2"/>
      </rPr>
      <t xml:space="preserve">전환 수익</t>
    </r>
  </si>
  <si>
    <r>
      <rPr>
        <sz val="10"/>
        <color rgb="FF000000"/>
        <rFont val="Noto Sans CJK KR"/>
        <family val="2"/>
      </rPr>
      <t xml:space="preserve">이메일 </t>
    </r>
    <r>
      <rPr>
        <sz val="10"/>
        <color rgb="FF000000"/>
        <rFont val="Arial"/>
        <family val="0"/>
        <charset val="1"/>
      </rPr>
      <t xml:space="preserve">Ultimate </t>
    </r>
    <r>
      <rPr>
        <sz val="10"/>
        <color rgb="FF000000"/>
        <rFont val="Noto Sans CJK KR"/>
        <family val="2"/>
      </rPr>
      <t xml:space="preserve">전환 수익</t>
    </r>
  </si>
  <si>
    <r>
      <rPr>
        <sz val="10"/>
        <color rgb="FF000000"/>
        <rFont val="Noto Sans CJK KR"/>
        <family val="2"/>
      </rPr>
      <t xml:space="preserve">소계 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KR"/>
        <family val="2"/>
      </rPr>
      <t xml:space="preserve">핫마트 수수료 전</t>
    </r>
    <r>
      <rPr>
        <sz val="10"/>
        <color rgb="FF000000"/>
        <rFont val="Arial"/>
        <family val="0"/>
        <charset val="1"/>
      </rPr>
      <t xml:space="preserve">)</t>
    </r>
  </si>
  <si>
    <t xml:space="preserve">핫마트 수수료 차감</t>
  </si>
  <si>
    <r>
      <rPr>
        <b val="true"/>
        <sz val="10"/>
        <color rgb="FF000000"/>
        <rFont val="Noto Sans CJK KR"/>
        <family val="2"/>
      </rPr>
      <t xml:space="preserve">순수익 </t>
    </r>
    <r>
      <rPr>
        <b val="true"/>
        <sz val="10"/>
        <color rgb="FF000000"/>
        <rFont val="Arial"/>
        <family val="0"/>
        <charset val="1"/>
      </rPr>
      <t xml:space="preserve">(T1 100</t>
    </r>
    <r>
      <rPr>
        <b val="true"/>
        <sz val="10"/>
        <color rgb="FF000000"/>
        <rFont val="Noto Sans CJK KR"/>
        <family val="2"/>
      </rPr>
      <t xml:space="preserve">명 기준</t>
    </r>
    <r>
      <rPr>
        <b val="true"/>
        <sz val="10"/>
        <color rgb="FF000000"/>
        <rFont val="Arial"/>
        <family val="0"/>
        <charset val="1"/>
      </rPr>
      <t xml:space="preserve">)</t>
    </r>
  </si>
  <si>
    <r>
      <rPr>
        <b val="true"/>
        <sz val="11"/>
        <color rgb="FF1A1A2E"/>
        <rFont val="Noto Sans CJK KR"/>
        <family val="2"/>
      </rPr>
      <t xml:space="preserve">실제 </t>
    </r>
    <r>
      <rPr>
        <b val="true"/>
        <sz val="11"/>
        <color rgb="FF1A1A2E"/>
        <rFont val="Arial"/>
        <family val="0"/>
        <charset val="1"/>
      </rPr>
      <t xml:space="preserve">AOV (</t>
    </r>
    <r>
      <rPr>
        <b val="true"/>
        <sz val="11"/>
        <color rgb="FF1A1A2E"/>
        <rFont val="Noto Sans CJK KR"/>
        <family val="2"/>
      </rPr>
      <t xml:space="preserve">고객당 순수익</t>
    </r>
    <r>
      <rPr>
        <b val="true"/>
        <sz val="11"/>
        <color rgb="FF1A1A2E"/>
        <rFont val="Arial"/>
        <family val="0"/>
        <charset val="1"/>
      </rPr>
      <t xml:space="preserve">)</t>
    </r>
  </si>
  <si>
    <r>
      <rPr>
        <sz val="9"/>
        <color rgb="FF888888"/>
        <rFont val="Arial"/>
        <family val="0"/>
        <charset val="1"/>
      </rPr>
      <t xml:space="preserve">* OTO = One-Time Offer (</t>
    </r>
    <r>
      <rPr>
        <sz val="9"/>
        <color rgb="FF888888"/>
        <rFont val="Noto Sans CJK KR"/>
        <family val="2"/>
      </rPr>
      <t xml:space="preserve">구매 직후 즉시 업셀</t>
    </r>
    <r>
      <rPr>
        <sz val="9"/>
        <color rgb="FF888888"/>
        <rFont val="Arial"/>
        <family val="0"/>
        <charset val="1"/>
      </rPr>
      <t xml:space="preserve">)</t>
    </r>
  </si>
  <si>
    <r>
      <rPr>
        <sz val="9"/>
        <color rgb="FF888888"/>
        <rFont val="Arial"/>
        <family val="0"/>
        <charset val="1"/>
      </rPr>
      <t xml:space="preserve">* </t>
    </r>
    <r>
      <rPr>
        <sz val="9"/>
        <color rgb="FF888888"/>
        <rFont val="Noto Sans CJK KR"/>
        <family val="2"/>
      </rPr>
      <t xml:space="preserve">이메일 시퀀스 전환율은 </t>
    </r>
    <r>
      <rPr>
        <sz val="9"/>
        <color rgb="FF888888"/>
        <rFont val="Arial"/>
        <family val="0"/>
        <charset val="1"/>
      </rPr>
      <t xml:space="preserve">Day 0~10 </t>
    </r>
    <r>
      <rPr>
        <sz val="9"/>
        <color rgb="FF888888"/>
        <rFont val="Noto Sans CJK KR"/>
        <family val="2"/>
      </rPr>
      <t xml:space="preserve">누적 기준</t>
    </r>
  </si>
  <si>
    <r>
      <rPr>
        <b val="true"/>
        <sz val="13"/>
        <color rgb="FFFFFFFF"/>
        <rFont val="Arial"/>
        <family val="0"/>
        <charset val="1"/>
      </rPr>
      <t xml:space="preserve">SHADOWGRAM · 12</t>
    </r>
    <r>
      <rPr>
        <b val="true"/>
        <sz val="13"/>
        <color rgb="FFFFFFFF"/>
        <rFont val="Noto Sans CJK KR"/>
        <family val="2"/>
      </rPr>
      <t xml:space="preserve">개월 수익 시뮬레이션 </t>
    </r>
    <r>
      <rPr>
        <b val="true"/>
        <sz val="13"/>
        <color rgb="FFFFFFFF"/>
        <rFont val="Arial"/>
        <family val="0"/>
        <charset val="1"/>
      </rPr>
      <t xml:space="preserve">(</t>
    </r>
    <r>
      <rPr>
        <b val="true"/>
        <sz val="13"/>
        <color rgb="FFFFFFFF"/>
        <rFont val="Noto Sans CJK KR"/>
        <family val="2"/>
      </rPr>
      <t xml:space="preserve">제휴 없이 직접 광고만</t>
    </r>
    <r>
      <rPr>
        <b val="true"/>
        <sz val="13"/>
        <color rgb="FFFFFFFF"/>
        <rFont val="Arial"/>
        <family val="0"/>
        <charset val="1"/>
      </rPr>
      <t xml:space="preserve">)</t>
    </r>
  </si>
  <si>
    <r>
      <rPr>
        <sz val="9"/>
        <color rgb="FF555555"/>
        <rFont val="Noto Sans CJK KR"/>
        <family val="2"/>
      </rPr>
      <t xml:space="preserve">가격</t>
    </r>
    <r>
      <rPr>
        <sz val="9"/>
        <color rgb="FF555555"/>
        <rFont val="Arial"/>
        <family val="0"/>
        <charset val="1"/>
      </rPr>
      <t xml:space="preserve">·</t>
    </r>
    <r>
      <rPr>
        <sz val="9"/>
        <color rgb="FF555555"/>
        <rFont val="Noto Sans CJK KR"/>
        <family val="2"/>
      </rPr>
      <t xml:space="preserve">전환율 가정은 </t>
    </r>
    <r>
      <rPr>
        <sz val="9"/>
        <color rgb="FF555555"/>
        <rFont val="Arial"/>
        <family val="0"/>
        <charset val="1"/>
      </rPr>
      <t xml:space="preserve">[① </t>
    </r>
    <r>
      <rPr>
        <sz val="9"/>
        <color rgb="FF555555"/>
        <rFont val="Noto Sans CJK KR"/>
        <family val="2"/>
      </rPr>
      <t xml:space="preserve">핵심 가정</t>
    </r>
    <r>
      <rPr>
        <sz val="9"/>
        <color rgb="FF555555"/>
        <rFont val="Arial"/>
        <family val="0"/>
        <charset val="1"/>
      </rPr>
      <t xml:space="preserve">] </t>
    </r>
    <r>
      <rPr>
        <sz val="9"/>
        <color rgb="FF555555"/>
        <rFont val="Noto Sans CJK KR"/>
        <family val="2"/>
      </rPr>
      <t xml:space="preserve">시트에서 변경 → 이 시트 자동 반영</t>
    </r>
  </si>
  <si>
    <r>
      <rPr>
        <b val="true"/>
        <sz val="12"/>
        <color rgb="FFFFFFFF"/>
        <rFont val="Noto Sans CJK KR"/>
        <family val="2"/>
      </rPr>
      <t xml:space="preserve">📅 월별 광고비 설정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Noto Sans CJK KR"/>
        <family val="2"/>
      </rPr>
      <t xml:space="preserve">파란색 셀 직접 입력</t>
    </r>
    <r>
      <rPr>
        <b val="true"/>
        <sz val="12"/>
        <color rgb="FFFFFFFF"/>
        <rFont val="Arial"/>
        <family val="0"/>
        <charset val="1"/>
      </rPr>
      <t xml:space="preserve">)</t>
    </r>
  </si>
  <si>
    <t xml:space="preserve">월</t>
  </si>
  <si>
    <r>
      <rPr>
        <b val="true"/>
        <sz val="10"/>
        <color rgb="FFFFFFFF"/>
        <rFont val="Noto Sans CJK KR"/>
        <family val="2"/>
      </rPr>
      <t xml:space="preserve">광고비</t>
    </r>
    <r>
      <rPr>
        <b val="true"/>
        <sz val="10"/>
        <color rgb="FFFFFFFF"/>
        <rFont val="Arial"/>
        <family val="0"/>
        <charset val="1"/>
      </rPr>
      <t xml:space="preserve">($)</t>
    </r>
  </si>
  <si>
    <t xml:space="preserve">검사완료자</t>
  </si>
  <si>
    <r>
      <rPr>
        <b val="true"/>
        <sz val="10"/>
        <color rgb="FFFFFFFF"/>
        <rFont val="Arial"/>
        <family val="0"/>
        <charset val="1"/>
      </rPr>
      <t xml:space="preserve">T1 </t>
    </r>
    <r>
      <rPr>
        <b val="true"/>
        <sz val="10"/>
        <color rgb="FFFFFFFF"/>
        <rFont val="Noto Sans CJK KR"/>
        <family val="2"/>
      </rPr>
      <t xml:space="preserve">구매자</t>
    </r>
  </si>
  <si>
    <r>
      <rPr>
        <b val="true"/>
        <sz val="10"/>
        <color rgb="FFFFFFFF"/>
        <rFont val="Arial"/>
        <family val="0"/>
        <charset val="1"/>
      </rPr>
      <t xml:space="preserve">OTO </t>
    </r>
    <r>
      <rPr>
        <b val="true"/>
        <sz val="10"/>
        <color rgb="FFFFFFFF"/>
        <rFont val="Noto Sans CJK KR"/>
        <family val="2"/>
      </rPr>
      <t xml:space="preserve">전환자</t>
    </r>
  </si>
  <si>
    <r>
      <rPr>
        <b val="true"/>
        <sz val="10"/>
        <color rgb="FFFFFFFF"/>
        <rFont val="Arial"/>
        <family val="0"/>
        <charset val="1"/>
      </rPr>
      <t xml:space="preserve">T3 </t>
    </r>
    <r>
      <rPr>
        <b val="true"/>
        <sz val="10"/>
        <color rgb="FFFFFFFF"/>
        <rFont val="Noto Sans CJK KR"/>
        <family val="2"/>
      </rPr>
      <t xml:space="preserve">전환자</t>
    </r>
  </si>
  <si>
    <r>
      <rPr>
        <b val="true"/>
        <sz val="10"/>
        <color rgb="FFFFFFFF"/>
        <rFont val="Arial"/>
        <family val="0"/>
        <charset val="1"/>
      </rPr>
      <t xml:space="preserve">Ultimate </t>
    </r>
    <r>
      <rPr>
        <b val="true"/>
        <sz val="10"/>
        <color rgb="FFFFFFFF"/>
        <rFont val="Noto Sans CJK KR"/>
        <family val="2"/>
      </rPr>
      <t xml:space="preserve">전환자</t>
    </r>
  </si>
  <si>
    <r>
      <rPr>
        <b val="true"/>
        <sz val="10"/>
        <color rgb="FFFFFFFF"/>
        <rFont val="Noto Sans CJK KR"/>
        <family val="2"/>
      </rPr>
      <t xml:space="preserve">총 매출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</si>
  <si>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Noto Sans CJK KR"/>
        <family val="2"/>
      </rPr>
      <t xml:space="preserve">순수익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</si>
  <si>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000000"/>
        <rFont val="Arial"/>
        <family val="0"/>
        <charset val="1"/>
      </rPr>
      <t xml:space="preserve">1</t>
    </r>
    <r>
      <rPr>
        <b val="true"/>
        <sz val="10"/>
        <color rgb="FF000000"/>
        <rFont val="Noto Sans CJK KR"/>
        <family val="2"/>
      </rPr>
      <t xml:space="preserve">월</t>
    </r>
  </si>
  <si>
    <r>
      <rPr>
        <b val="true"/>
        <sz val="10"/>
        <color rgb="FF000000"/>
        <rFont val="Arial"/>
        <family val="0"/>
        <charset val="1"/>
      </rPr>
      <t xml:space="preserve">2</t>
    </r>
    <r>
      <rPr>
        <b val="true"/>
        <sz val="10"/>
        <color rgb="FF000000"/>
        <rFont val="Noto Sans CJK KR"/>
        <family val="2"/>
      </rPr>
      <t xml:space="preserve">월</t>
    </r>
  </si>
  <si>
    <r>
      <rPr>
        <b val="true"/>
        <sz val="10"/>
        <color rgb="FF000000"/>
        <rFont val="Arial"/>
        <family val="0"/>
        <charset val="1"/>
      </rPr>
      <t xml:space="preserve">3</t>
    </r>
    <r>
      <rPr>
        <b val="true"/>
        <sz val="10"/>
        <color rgb="FF000000"/>
        <rFont val="Noto Sans CJK KR"/>
        <family val="2"/>
      </rPr>
      <t xml:space="preserve">월</t>
    </r>
  </si>
  <si>
    <r>
      <rPr>
        <b val="true"/>
        <sz val="10"/>
        <color rgb="FF000000"/>
        <rFont val="Arial"/>
        <family val="0"/>
        <charset val="1"/>
      </rPr>
      <t xml:space="preserve">4</t>
    </r>
    <r>
      <rPr>
        <b val="true"/>
        <sz val="10"/>
        <color rgb="FF000000"/>
        <rFont val="Noto Sans CJK KR"/>
        <family val="2"/>
      </rPr>
      <t xml:space="preserve">월</t>
    </r>
  </si>
  <si>
    <r>
      <rPr>
        <b val="true"/>
        <sz val="10"/>
        <color rgb="FF000000"/>
        <rFont val="Arial"/>
        <family val="0"/>
        <charset val="1"/>
      </rPr>
      <t xml:space="preserve">5</t>
    </r>
    <r>
      <rPr>
        <b val="true"/>
        <sz val="10"/>
        <color rgb="FF000000"/>
        <rFont val="Noto Sans CJK KR"/>
        <family val="2"/>
      </rPr>
      <t xml:space="preserve">월</t>
    </r>
  </si>
  <si>
    <r>
      <rPr>
        <b val="true"/>
        <sz val="10"/>
        <color rgb="FF000000"/>
        <rFont val="Arial"/>
        <family val="0"/>
        <charset val="1"/>
      </rPr>
      <t xml:space="preserve">6</t>
    </r>
    <r>
      <rPr>
        <b val="true"/>
        <sz val="10"/>
        <color rgb="FF000000"/>
        <rFont val="Noto Sans CJK KR"/>
        <family val="2"/>
      </rPr>
      <t xml:space="preserve">월</t>
    </r>
  </si>
  <si>
    <r>
      <rPr>
        <b val="true"/>
        <sz val="10"/>
        <color rgb="FF000000"/>
        <rFont val="Arial"/>
        <family val="0"/>
        <charset val="1"/>
      </rPr>
      <t xml:space="preserve">7</t>
    </r>
    <r>
      <rPr>
        <b val="true"/>
        <sz val="10"/>
        <color rgb="FF000000"/>
        <rFont val="Noto Sans CJK KR"/>
        <family val="2"/>
      </rPr>
      <t xml:space="preserve">월</t>
    </r>
  </si>
  <si>
    <r>
      <rPr>
        <b val="true"/>
        <sz val="10"/>
        <color rgb="FF000000"/>
        <rFont val="Arial"/>
        <family val="0"/>
        <charset val="1"/>
      </rPr>
      <t xml:space="preserve">8</t>
    </r>
    <r>
      <rPr>
        <b val="true"/>
        <sz val="10"/>
        <color rgb="FF000000"/>
        <rFont val="Noto Sans CJK KR"/>
        <family val="2"/>
      </rPr>
      <t xml:space="preserve">월</t>
    </r>
  </si>
  <si>
    <r>
      <rPr>
        <b val="true"/>
        <sz val="10"/>
        <color rgb="FF000000"/>
        <rFont val="Arial"/>
        <family val="0"/>
        <charset val="1"/>
      </rPr>
      <t xml:space="preserve">9</t>
    </r>
    <r>
      <rPr>
        <b val="true"/>
        <sz val="10"/>
        <color rgb="FF000000"/>
        <rFont val="Noto Sans CJK KR"/>
        <family val="2"/>
      </rPr>
      <t xml:space="preserve">월</t>
    </r>
  </si>
  <si>
    <r>
      <rPr>
        <b val="true"/>
        <sz val="10"/>
        <color rgb="FF000000"/>
        <rFont val="Arial"/>
        <family val="0"/>
        <charset val="1"/>
      </rPr>
      <t xml:space="preserve">10</t>
    </r>
    <r>
      <rPr>
        <b val="true"/>
        <sz val="10"/>
        <color rgb="FF000000"/>
        <rFont val="Noto Sans CJK KR"/>
        <family val="2"/>
      </rPr>
      <t xml:space="preserve">월</t>
    </r>
  </si>
  <si>
    <r>
      <rPr>
        <b val="true"/>
        <sz val="10"/>
        <color rgb="FF000000"/>
        <rFont val="Arial"/>
        <family val="0"/>
        <charset val="1"/>
      </rPr>
      <t xml:space="preserve">11</t>
    </r>
    <r>
      <rPr>
        <b val="true"/>
        <sz val="10"/>
        <color rgb="FF000000"/>
        <rFont val="Noto Sans CJK KR"/>
        <family val="2"/>
      </rPr>
      <t xml:space="preserve">월</t>
    </r>
  </si>
  <si>
    <r>
      <rPr>
        <b val="true"/>
        <sz val="10"/>
        <color rgb="FF000000"/>
        <rFont val="Arial"/>
        <family val="0"/>
        <charset val="1"/>
      </rPr>
      <t xml:space="preserve">12</t>
    </r>
    <r>
      <rPr>
        <b val="true"/>
        <sz val="10"/>
        <color rgb="FF000000"/>
        <rFont val="Noto Sans CJK KR"/>
        <family val="2"/>
      </rPr>
      <t xml:space="preserve">월</t>
    </r>
  </si>
  <si>
    <r>
      <rPr>
        <b val="true"/>
        <sz val="11"/>
        <color rgb="FFFFFFFF"/>
        <rFont val="Arial"/>
        <family val="0"/>
        <charset val="1"/>
      </rPr>
      <t xml:space="preserve">12</t>
    </r>
    <r>
      <rPr>
        <b val="true"/>
        <sz val="11"/>
        <color rgb="FFFFFFFF"/>
        <rFont val="Noto Sans CJK KR"/>
        <family val="2"/>
      </rPr>
      <t xml:space="preserve">개월 합계</t>
    </r>
  </si>
  <si>
    <r>
      <rPr>
        <b val="true"/>
        <sz val="12"/>
        <color rgb="FFFFFFFF"/>
        <rFont val="Noto Sans CJK KR"/>
        <family val="2"/>
      </rPr>
      <t xml:space="preserve">📈 누적 순수익 </t>
    </r>
    <r>
      <rPr>
        <b val="true"/>
        <sz val="12"/>
        <color rgb="FFFFFFFF"/>
        <rFont val="Arial"/>
        <family val="0"/>
        <charset val="1"/>
      </rPr>
      <t xml:space="preserve">&amp; </t>
    </r>
    <r>
      <rPr>
        <b val="true"/>
        <sz val="12"/>
        <color rgb="FFFFFFFF"/>
        <rFont val="Noto Sans CJK KR"/>
        <family val="2"/>
      </rPr>
      <t xml:space="preserve">광고 </t>
    </r>
    <r>
      <rPr>
        <b val="true"/>
        <sz val="12"/>
        <color rgb="FFFFFFFF"/>
        <rFont val="Arial"/>
        <family val="0"/>
        <charset val="1"/>
      </rPr>
      <t xml:space="preserve">ROI</t>
    </r>
  </si>
  <si>
    <t xml:space="preserve">누적 순수익</t>
  </si>
  <si>
    <r>
      <rPr>
        <b val="true"/>
        <sz val="10"/>
        <color rgb="FFFFFFFF"/>
        <rFont val="Noto Sans CJK KR"/>
        <family val="2"/>
      </rPr>
      <t xml:space="preserve">광고 </t>
    </r>
    <r>
      <rPr>
        <b val="true"/>
        <sz val="10"/>
        <color rgb="FFFFFFFF"/>
        <rFont val="Arial"/>
        <family val="0"/>
        <charset val="1"/>
      </rPr>
      <t xml:space="preserve">ROI</t>
    </r>
  </si>
  <si>
    <r>
      <rPr>
        <b val="true"/>
        <sz val="14"/>
        <color rgb="FFFFFFFF"/>
        <rFont val="Arial"/>
        <family val="0"/>
        <charset val="1"/>
      </rPr>
      <t xml:space="preserve">SHADOWGRAM · </t>
    </r>
    <r>
      <rPr>
        <b val="true"/>
        <sz val="14"/>
        <color rgb="FFFFFFFF"/>
        <rFont val="Noto Sans CJK KR"/>
        <family val="2"/>
      </rPr>
      <t xml:space="preserve">바이럴 계수</t>
    </r>
    <r>
      <rPr>
        <b val="true"/>
        <sz val="14"/>
        <color rgb="FFFFFFFF"/>
        <rFont val="Arial"/>
        <family val="0"/>
        <charset val="1"/>
      </rPr>
      <t xml:space="preserve">(K) </t>
    </r>
    <r>
      <rPr>
        <b val="true"/>
        <sz val="14"/>
        <color rgb="FFFFFFFF"/>
        <rFont val="Noto Sans CJK KR"/>
        <family val="2"/>
      </rPr>
      <t xml:space="preserve">시나리오 비교</t>
    </r>
  </si>
  <si>
    <r>
      <rPr>
        <b val="true"/>
        <sz val="12"/>
        <color rgb="FFFFFFFF"/>
        <rFont val="Noto Sans CJK KR"/>
        <family val="2"/>
      </rPr>
      <t xml:space="preserve">📌 바이럴 계수</t>
    </r>
    <r>
      <rPr>
        <b val="true"/>
        <sz val="12"/>
        <color rgb="FFFFFFFF"/>
        <rFont val="Arial"/>
        <family val="0"/>
        <charset val="1"/>
      </rPr>
      <t xml:space="preserve">(K) = </t>
    </r>
    <r>
      <rPr>
        <b val="true"/>
        <sz val="12"/>
        <color rgb="FFFFFFFF"/>
        <rFont val="Noto Sans CJK KR"/>
        <family val="2"/>
      </rPr>
      <t xml:space="preserve">한 명이 데려오는 신규 유저 수</t>
    </r>
  </si>
  <si>
    <r>
      <rPr>
        <b val="true"/>
        <sz val="10"/>
        <color rgb="FFFFFFFF"/>
        <rFont val="Arial"/>
        <family val="0"/>
        <charset val="1"/>
      </rPr>
      <t xml:space="preserve">K </t>
    </r>
    <r>
      <rPr>
        <b val="true"/>
        <sz val="10"/>
        <color rgb="FFFFFFFF"/>
        <rFont val="Noto Sans CJK KR"/>
        <family val="2"/>
      </rPr>
      <t xml:space="preserve">값</t>
    </r>
  </si>
  <si>
    <t xml:space="preserve">성장 유형</t>
  </si>
  <si>
    <t xml:space="preserve">의미</t>
  </si>
  <si>
    <t xml:space="preserve">K &lt; 0.5</t>
  </si>
  <si>
    <t xml:space="preserve">광고 의존</t>
  </si>
  <si>
    <r>
      <rPr>
        <sz val="9"/>
        <color rgb="FF000000"/>
        <rFont val="Noto Sans CJK KR"/>
        <family val="2"/>
      </rPr>
      <t xml:space="preserve">바이럴 거의 없음</t>
    </r>
    <r>
      <rPr>
        <sz val="9"/>
        <color rgb="FF000000"/>
        <rFont val="Arial"/>
        <family val="0"/>
        <charset val="1"/>
      </rPr>
      <t xml:space="preserve">. </t>
    </r>
    <r>
      <rPr>
        <sz val="9"/>
        <color rgb="FF000000"/>
        <rFont val="Noto Sans CJK KR"/>
        <family val="2"/>
      </rPr>
      <t xml:space="preserve">광고비 </t>
    </r>
    <r>
      <rPr>
        <sz val="9"/>
        <color rgb="FF000000"/>
        <rFont val="Arial"/>
        <family val="0"/>
        <charset val="1"/>
      </rPr>
      <t xml:space="preserve">= </t>
    </r>
    <r>
      <rPr>
        <sz val="9"/>
        <color rgb="FF000000"/>
        <rFont val="Noto Sans CJK KR"/>
        <family val="2"/>
      </rPr>
      <t xml:space="preserve">성장 엔진</t>
    </r>
  </si>
  <si>
    <t xml:space="preserve">K = 0.5</t>
  </si>
  <si>
    <t xml:space="preserve">보조 바이럴</t>
  </si>
  <si>
    <r>
      <rPr>
        <sz val="9"/>
        <color rgb="FF000000"/>
        <rFont val="Noto Sans CJK KR"/>
        <family val="2"/>
      </rPr>
      <t xml:space="preserve">광고 구매자 </t>
    </r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Noto Sans CJK KR"/>
        <family val="2"/>
      </rPr>
      <t xml:space="preserve">명이 </t>
    </r>
    <r>
      <rPr>
        <sz val="9"/>
        <color rgb="FF000000"/>
        <rFont val="Arial"/>
        <family val="0"/>
        <charset val="1"/>
      </rPr>
      <t xml:space="preserve">0.5</t>
    </r>
    <r>
      <rPr>
        <sz val="9"/>
        <color rgb="FF000000"/>
        <rFont val="Noto Sans CJK KR"/>
        <family val="2"/>
      </rPr>
      <t xml:space="preserve">명 추가 유입</t>
    </r>
  </si>
  <si>
    <t xml:space="preserve">K = 1.0</t>
  </si>
  <si>
    <t xml:space="preserve">자기유지</t>
  </si>
  <si>
    <t xml:space="preserve">광고 없이도 현재 규모 유지 가능</t>
  </si>
  <si>
    <t xml:space="preserve">K &gt; 1.5</t>
  </si>
  <si>
    <t xml:space="preserve">폭발적 성장</t>
  </si>
  <si>
    <r>
      <rPr>
        <sz val="9"/>
        <color rgb="FF000000"/>
        <rFont val="Noto Sans CJK KR"/>
        <family val="2"/>
      </rPr>
      <t xml:space="preserve">광고비 고정해도 매달 유저 </t>
    </r>
    <r>
      <rPr>
        <sz val="9"/>
        <color rgb="FF000000"/>
        <rFont val="Arial"/>
        <family val="0"/>
        <charset val="1"/>
      </rPr>
      <t xml:space="preserve">1.5</t>
    </r>
    <r>
      <rPr>
        <sz val="9"/>
        <color rgb="FF000000"/>
        <rFont val="Noto Sans CJK KR"/>
        <family val="2"/>
      </rPr>
      <t xml:space="preserve">배 증가</t>
    </r>
  </si>
  <si>
    <r>
      <rPr>
        <b val="true"/>
        <sz val="12"/>
        <color rgb="FFFFFFFF"/>
        <rFont val="Arial"/>
        <family val="0"/>
        <charset val="1"/>
      </rPr>
      <t xml:space="preserve">📊 6</t>
    </r>
    <r>
      <rPr>
        <b val="true"/>
        <sz val="12"/>
        <color rgb="FFFFFFFF"/>
        <rFont val="Noto Sans CJK KR"/>
        <family val="2"/>
      </rPr>
      <t xml:space="preserve">개월 순수익 시나리오 비교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Noto Sans CJK KR"/>
        <family val="2"/>
      </rPr>
      <t xml:space="preserve">월 광고비 </t>
    </r>
    <r>
      <rPr>
        <b val="true"/>
        <sz val="12"/>
        <color rgb="FFFFFFFF"/>
        <rFont val="Arial"/>
        <family val="0"/>
        <charset val="1"/>
      </rPr>
      <t xml:space="preserve">$500 </t>
    </r>
    <r>
      <rPr>
        <b val="true"/>
        <sz val="12"/>
        <color rgb="FFFFFFFF"/>
        <rFont val="Noto Sans CJK KR"/>
        <family val="2"/>
      </rPr>
      <t xml:space="preserve">기준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</si>
  <si>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K=0 (</t>
    </r>
    <r>
      <rPr>
        <b val="true"/>
        <sz val="10"/>
        <color rgb="FFFFFFFF"/>
        <rFont val="Noto Sans CJK KR"/>
        <family val="2"/>
      </rPr>
      <t xml:space="preserve">광고만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</si>
  <si>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K=0.5 (</t>
    </r>
    <r>
      <rPr>
        <b val="true"/>
        <sz val="10"/>
        <color rgb="FFFFFFFF"/>
        <rFont val="Noto Sans CJK KR"/>
        <family val="2"/>
      </rPr>
      <t xml:space="preserve">보조바이럴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</si>
  <si>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K=1.0 (</t>
    </r>
    <r>
      <rPr>
        <b val="true"/>
        <sz val="10"/>
        <color rgb="FFFFFFFF"/>
        <rFont val="Noto Sans CJK KR"/>
        <family val="2"/>
      </rPr>
      <t xml:space="preserve">자기유지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</si>
  <si>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K=1.5+ (</t>
    </r>
    <r>
      <rPr>
        <b val="true"/>
        <sz val="10"/>
        <color rgb="FFFFFFFF"/>
        <rFont val="Noto Sans CJK KR"/>
        <family val="2"/>
      </rPr>
      <t xml:space="preserve">폭발성장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</si>
  <si>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월 광고비</t>
  </si>
  <si>
    <t xml:space="preserve">$500</t>
  </si>
  <si>
    <r>
      <rPr>
        <sz val="10"/>
        <color rgb="FF000000"/>
        <rFont val="Noto Sans CJK KR"/>
        <family val="2"/>
      </rPr>
      <t xml:space="preserve">월 기본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구매자</t>
    </r>
  </si>
  <si>
    <r>
      <rPr>
        <sz val="10"/>
        <color rgb="FF333333"/>
        <rFont val="Arial"/>
        <family val="0"/>
        <charset val="1"/>
      </rPr>
      <t xml:space="preserve">58</t>
    </r>
    <r>
      <rPr>
        <sz val="10"/>
        <color rgb="FF333333"/>
        <rFont val="Noto Sans CJK KR"/>
        <family val="2"/>
      </rPr>
      <t xml:space="preserve">명</t>
    </r>
  </si>
  <si>
    <t xml:space="preserve">바이럴 추가 유입</t>
  </si>
  <si>
    <r>
      <rPr>
        <sz val="10"/>
        <color rgb="FF333333"/>
        <rFont val="Arial"/>
        <family val="0"/>
        <charset val="1"/>
      </rPr>
      <t xml:space="preserve">0</t>
    </r>
    <r>
      <rPr>
        <sz val="10"/>
        <color rgb="FF333333"/>
        <rFont val="Noto Sans CJK KR"/>
        <family val="2"/>
      </rPr>
      <t xml:space="preserve">명</t>
    </r>
  </si>
  <si>
    <r>
      <rPr>
        <sz val="10"/>
        <color rgb="FF333333"/>
        <rFont val="Arial"/>
        <family val="0"/>
        <charset val="1"/>
      </rPr>
      <t xml:space="preserve">29</t>
    </r>
    <r>
      <rPr>
        <sz val="10"/>
        <color rgb="FF333333"/>
        <rFont val="Noto Sans CJK KR"/>
        <family val="2"/>
      </rPr>
      <t xml:space="preserve">명</t>
    </r>
  </si>
  <si>
    <r>
      <rPr>
        <sz val="10"/>
        <color rgb="FF333333"/>
        <rFont val="Arial"/>
        <family val="0"/>
        <charset val="1"/>
      </rPr>
      <t xml:space="preserve">87</t>
    </r>
    <r>
      <rPr>
        <sz val="10"/>
        <color rgb="FF333333"/>
        <rFont val="Noto Sans CJK KR"/>
        <family val="2"/>
      </rPr>
      <t xml:space="preserve">명</t>
    </r>
    <r>
      <rPr>
        <sz val="10"/>
        <color rgb="FF333333"/>
        <rFont val="Arial"/>
        <family val="0"/>
        <charset val="1"/>
      </rPr>
      <t xml:space="preserve">+</t>
    </r>
  </si>
  <si>
    <r>
      <rPr>
        <sz val="10"/>
        <color rgb="FF000000"/>
        <rFont val="Noto Sans CJK KR"/>
        <family val="2"/>
      </rPr>
      <t xml:space="preserve">실질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KR"/>
        <family val="2"/>
      </rPr>
      <t xml:space="preserve">구매자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월</t>
    </r>
  </si>
  <si>
    <r>
      <rPr>
        <sz val="10"/>
        <color rgb="FF333333"/>
        <rFont val="Arial"/>
        <family val="0"/>
        <charset val="1"/>
      </rPr>
      <t xml:space="preserve">87</t>
    </r>
    <r>
      <rPr>
        <sz val="10"/>
        <color rgb="FF333333"/>
        <rFont val="Noto Sans CJK KR"/>
        <family val="2"/>
      </rPr>
      <t xml:space="preserve">명</t>
    </r>
  </si>
  <si>
    <r>
      <rPr>
        <sz val="10"/>
        <color rgb="FF333333"/>
        <rFont val="Arial"/>
        <family val="0"/>
        <charset val="1"/>
      </rPr>
      <t xml:space="preserve">116</t>
    </r>
    <r>
      <rPr>
        <sz val="10"/>
        <color rgb="FF333333"/>
        <rFont val="Noto Sans CJK KR"/>
        <family val="2"/>
      </rPr>
      <t xml:space="preserve">명</t>
    </r>
  </si>
  <si>
    <r>
      <rPr>
        <sz val="10"/>
        <color rgb="FF333333"/>
        <rFont val="Arial"/>
        <family val="0"/>
        <charset val="1"/>
      </rPr>
      <t xml:space="preserve">145</t>
    </r>
    <r>
      <rPr>
        <sz val="10"/>
        <color rgb="FF333333"/>
        <rFont val="Noto Sans CJK KR"/>
        <family val="2"/>
      </rPr>
      <t xml:space="preserve">명</t>
    </r>
    <r>
      <rPr>
        <sz val="10"/>
        <color rgb="FF333333"/>
        <rFont val="Arial"/>
        <family val="0"/>
        <charset val="1"/>
      </rPr>
      <t xml:space="preserve">+</t>
    </r>
  </si>
  <si>
    <t xml:space="preserve">월 순수익</t>
  </si>
  <si>
    <t xml:space="preserve">$433</t>
  </si>
  <si>
    <t xml:space="preserve">$649</t>
  </si>
  <si>
    <t xml:space="preserve">$865</t>
  </si>
  <si>
    <t xml:space="preserve">$1,082+</t>
  </si>
  <si>
    <r>
      <rPr>
        <b val="true"/>
        <sz val="10"/>
        <color rgb="FF000000"/>
        <rFont val="Arial"/>
        <family val="0"/>
        <charset val="1"/>
      </rPr>
      <t xml:space="preserve">6</t>
    </r>
    <r>
      <rPr>
        <b val="true"/>
        <sz val="10"/>
        <color rgb="FF000000"/>
        <rFont val="Noto Sans CJK KR"/>
        <family val="2"/>
      </rPr>
      <t xml:space="preserve">개월 누적 순수익</t>
    </r>
  </si>
  <si>
    <t xml:space="preserve">$2,598</t>
  </si>
  <si>
    <t xml:space="preserve">$3,894</t>
  </si>
  <si>
    <t xml:space="preserve">$5,190</t>
  </si>
  <si>
    <t xml:space="preserve">$6,492+</t>
  </si>
  <si>
    <r>
      <rPr>
        <b val="true"/>
        <sz val="10"/>
        <color rgb="FF000000"/>
        <rFont val="Noto Sans CJK KR"/>
        <family val="2"/>
      </rPr>
      <t xml:space="preserve">광고비 대비 </t>
    </r>
    <r>
      <rPr>
        <b val="true"/>
        <sz val="10"/>
        <color rgb="FF000000"/>
        <rFont val="Arial"/>
        <family val="0"/>
        <charset val="1"/>
      </rPr>
      <t xml:space="preserve">ROI</t>
    </r>
  </si>
  <si>
    <t xml:space="preserve">0.87x</t>
  </si>
  <si>
    <t xml:space="preserve">1.30x</t>
  </si>
  <si>
    <t xml:space="preserve">1.73x</t>
  </si>
  <si>
    <t xml:space="preserve">2.16x+</t>
  </si>
  <si>
    <r>
      <rPr>
        <b val="true"/>
        <sz val="12"/>
        <color rgb="FFFFFFFF"/>
        <rFont val="Arial"/>
        <family val="0"/>
        <charset val="1"/>
      </rPr>
      <t xml:space="preserve">🚀 K</t>
    </r>
    <r>
      <rPr>
        <b val="true"/>
        <sz val="12"/>
        <color rgb="FFFFFFFF"/>
        <rFont val="Noto Sans CJK KR"/>
        <family val="2"/>
      </rPr>
      <t xml:space="preserve">값 높이는 핵심 바이럴 요소</t>
    </r>
  </si>
  <si>
    <t xml:space="preserve">바이럴 요소</t>
  </si>
  <si>
    <t xml:space="preserve">방법</t>
  </si>
  <si>
    <r>
      <rPr>
        <b val="true"/>
        <sz val="10"/>
        <color rgb="FFFFFFFF"/>
        <rFont val="Arial"/>
        <family val="0"/>
        <charset val="1"/>
      </rPr>
      <t xml:space="preserve">K </t>
    </r>
    <r>
      <rPr>
        <b val="true"/>
        <sz val="10"/>
        <color rgb="FFFFFFFF"/>
        <rFont val="Noto Sans CJK KR"/>
        <family val="2"/>
      </rPr>
      <t xml:space="preserve">기여도</t>
    </r>
  </si>
  <si>
    <t xml:space="preserve">결과 페이지 공유 버튼</t>
  </si>
  <si>
    <r>
      <rPr>
        <sz val="9"/>
        <color rgb="FF000000"/>
        <rFont val="Noto Sans CJK KR"/>
        <family val="2"/>
      </rPr>
      <t xml:space="preserve">검사 결과에 </t>
    </r>
    <r>
      <rPr>
        <sz val="9"/>
        <color rgb="FF000000"/>
        <rFont val="Arial"/>
        <family val="0"/>
        <charset val="1"/>
      </rPr>
      <t xml:space="preserve">SNS </t>
    </r>
    <r>
      <rPr>
        <sz val="9"/>
        <color rgb="FF000000"/>
        <rFont val="Noto Sans CJK KR"/>
        <family val="2"/>
      </rPr>
      <t xml:space="preserve">공유 → 친구 유입</t>
    </r>
  </si>
  <si>
    <t xml:space="preserve">K +0.1~0.3</t>
  </si>
  <si>
    <r>
      <rPr>
        <b val="true"/>
        <sz val="10"/>
        <color rgb="FF1A1A2E"/>
        <rFont val="Arial"/>
        <family val="0"/>
        <charset val="1"/>
      </rPr>
      <t xml:space="preserve">8</t>
    </r>
    <r>
      <rPr>
        <b val="true"/>
        <sz val="10"/>
        <color rgb="FF1A1A2E"/>
        <rFont val="Noto Sans CJK KR"/>
        <family val="2"/>
      </rPr>
      <t xml:space="preserve">유형 비교 콘텐츠</t>
    </r>
  </si>
  <si>
    <r>
      <rPr>
        <sz val="9"/>
        <color rgb="FF000000"/>
        <rFont val="Arial"/>
        <family val="0"/>
        <charset val="1"/>
      </rPr>
      <t xml:space="preserve">"</t>
    </r>
    <r>
      <rPr>
        <sz val="9"/>
        <color rgb="FF000000"/>
        <rFont val="Noto Sans CJK KR"/>
        <family val="2"/>
      </rPr>
      <t xml:space="preserve">내 유형 </t>
    </r>
    <r>
      <rPr>
        <sz val="9"/>
        <color rgb="FF000000"/>
        <rFont val="Arial"/>
        <family val="0"/>
        <charset val="1"/>
      </rPr>
      <t xml:space="preserve">vs </t>
    </r>
    <r>
      <rPr>
        <sz val="9"/>
        <color rgb="FF000000"/>
        <rFont val="Noto Sans CJK KR"/>
        <family val="2"/>
      </rPr>
      <t xml:space="preserve">친구 유형</t>
    </r>
    <r>
      <rPr>
        <sz val="9"/>
        <color rgb="FF000000"/>
        <rFont val="Arial"/>
        <family val="0"/>
        <charset val="1"/>
      </rPr>
      <t xml:space="preserve">" </t>
    </r>
    <r>
      <rPr>
        <sz val="9"/>
        <color rgb="FF000000"/>
        <rFont val="Noto Sans CJK KR"/>
        <family val="2"/>
      </rPr>
      <t xml:space="preserve">비교 기능</t>
    </r>
  </si>
  <si>
    <t xml:space="preserve">K +0.2~0.4</t>
  </si>
  <si>
    <t xml:space="preserve">리포트 일부 무료 공개</t>
  </si>
  <si>
    <r>
      <rPr>
        <sz val="9"/>
        <color rgb="FF000000"/>
        <rFont val="Noto Sans CJK KR"/>
        <family val="2"/>
      </rPr>
      <t xml:space="preserve">리포트 앞 </t>
    </r>
    <r>
      <rPr>
        <sz val="9"/>
        <color rgb="FF000000"/>
        <rFont val="Arial"/>
        <family val="0"/>
        <charset val="1"/>
      </rPr>
      <t xml:space="preserve">3</t>
    </r>
    <r>
      <rPr>
        <sz val="9"/>
        <color rgb="FF000000"/>
        <rFont val="Noto Sans CJK KR"/>
        <family val="2"/>
      </rPr>
      <t xml:space="preserve">페이지 무료 → 구매 </t>
    </r>
    <r>
      <rPr>
        <sz val="9"/>
        <color rgb="FF000000"/>
        <rFont val="Arial"/>
        <family val="0"/>
        <charset val="1"/>
      </rPr>
      <t xml:space="preserve">CTA</t>
    </r>
  </si>
  <si>
    <t xml:space="preserve">K +0.1~0.2</t>
  </si>
  <si>
    <t xml:space="preserve">인스타 스토리 템플릿</t>
  </si>
  <si>
    <t xml:space="preserve">결과 카드 → 스토리 공유 유도</t>
  </si>
  <si>
    <t xml:space="preserve">K +0.2~0.3</t>
  </si>
  <si>
    <t xml:space="preserve">친구 초대 리워드</t>
  </si>
  <si>
    <t xml:space="preserve">친구 검사 완료 시 추가 리포트 증정</t>
  </si>
  <si>
    <t xml:space="preserve">K +0.3~0.5</t>
  </si>
  <si>
    <r>
      <rPr>
        <b val="true"/>
        <sz val="14"/>
        <color rgb="FFFFFFFF"/>
        <rFont val="Arial"/>
        <family val="0"/>
        <charset val="1"/>
      </rPr>
      <t xml:space="preserve">SHADOWGRAM · </t>
    </r>
    <r>
      <rPr>
        <b val="true"/>
        <sz val="14"/>
        <color rgb="FFFFFFFF"/>
        <rFont val="Noto Sans CJK KR"/>
        <family val="2"/>
      </rPr>
      <t xml:space="preserve">손익분기 </t>
    </r>
    <r>
      <rPr>
        <b val="true"/>
        <sz val="14"/>
        <color rgb="FFFFFFFF"/>
        <rFont val="Arial"/>
        <family val="0"/>
        <charset val="1"/>
      </rPr>
      <t xml:space="preserve">&amp; </t>
    </r>
    <r>
      <rPr>
        <b val="true"/>
        <sz val="14"/>
        <color rgb="FFFFFFFF"/>
        <rFont val="Noto Sans CJK KR"/>
        <family val="2"/>
      </rPr>
      <t xml:space="preserve">목표 수익 역산</t>
    </r>
  </si>
  <si>
    <t xml:space="preserve">💸 월 고정비 설정</t>
  </si>
  <si>
    <r>
      <rPr>
        <b val="true"/>
        <sz val="10"/>
        <color rgb="FFFFFFFF"/>
        <rFont val="Noto Sans CJK KR"/>
        <family val="2"/>
      </rPr>
      <t xml:space="preserve">금액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</si>
  <si>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sz val="10"/>
        <color rgb="FF000000"/>
        <rFont val="Noto Sans CJK KR"/>
        <family val="2"/>
      </rPr>
      <t xml:space="preserve">핫마트 구독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KR"/>
        <family val="2"/>
      </rPr>
      <t xml:space="preserve">수수료</t>
    </r>
  </si>
  <si>
    <r>
      <rPr>
        <sz val="9"/>
        <color rgb="FF888888"/>
        <rFont val="Noto Sans CJK KR"/>
        <family val="2"/>
      </rPr>
      <t xml:space="preserve">거래별 </t>
    </r>
    <r>
      <rPr>
        <sz val="9"/>
        <color rgb="FF888888"/>
        <rFont val="Arial"/>
        <family val="0"/>
        <charset val="1"/>
      </rPr>
      <t xml:space="preserve">9.9% </t>
    </r>
    <r>
      <rPr>
        <sz val="9"/>
        <color rgb="FF888888"/>
        <rFont val="Noto Sans CJK KR"/>
        <family val="2"/>
      </rPr>
      <t xml:space="preserve">별도 → 여기선 </t>
    </r>
    <r>
      <rPr>
        <sz val="9"/>
        <color rgb="FF888888"/>
        <rFont val="Arial"/>
        <family val="0"/>
        <charset val="1"/>
      </rPr>
      <t xml:space="preserve">0</t>
    </r>
  </si>
  <si>
    <t xml:space="preserve">이메일 자동화 도구</t>
  </si>
  <si>
    <r>
      <rPr>
        <sz val="9"/>
        <color rgb="FF888888"/>
        <rFont val="Arial"/>
        <family val="0"/>
        <charset val="1"/>
      </rPr>
      <t xml:space="preserve">ConvertKit/ActiveCampaign </t>
    </r>
    <r>
      <rPr>
        <sz val="9"/>
        <color rgb="FF888888"/>
        <rFont val="Noto Sans CJK KR"/>
        <family val="2"/>
      </rPr>
      <t xml:space="preserve">기본</t>
    </r>
  </si>
  <si>
    <r>
      <rPr>
        <sz val="10"/>
        <color rgb="FF000000"/>
        <rFont val="Noto Sans CJK KR"/>
        <family val="2"/>
      </rPr>
      <t xml:space="preserve">도메인</t>
    </r>
    <r>
      <rPr>
        <sz val="10"/>
        <color rgb="FF000000"/>
        <rFont val="Arial"/>
        <family val="0"/>
        <charset val="1"/>
      </rPr>
      <t xml:space="preserve">+</t>
    </r>
    <r>
      <rPr>
        <sz val="10"/>
        <color rgb="FF000000"/>
        <rFont val="Noto Sans CJK KR"/>
        <family val="2"/>
      </rPr>
      <t xml:space="preserve">호스팅</t>
    </r>
  </si>
  <si>
    <t xml:space="preserve">검사페이지 운영비</t>
  </si>
  <si>
    <t xml:space="preserve">기타 툴</t>
  </si>
  <si>
    <r>
      <rPr>
        <sz val="9"/>
        <color rgb="FF888888"/>
        <rFont val="Arial"/>
        <family val="0"/>
        <charset val="1"/>
      </rPr>
      <t xml:space="preserve">Canva Pro </t>
    </r>
    <r>
      <rPr>
        <sz val="9"/>
        <color rgb="FF888888"/>
        <rFont val="Noto Sans CJK KR"/>
        <family val="2"/>
      </rPr>
      <t xml:space="preserve">등</t>
    </r>
  </si>
  <si>
    <t xml:space="preserve">월 고정비 합계</t>
  </si>
  <si>
    <r>
      <rPr>
        <b val="true"/>
        <sz val="12"/>
        <color rgb="FFFFFFFF"/>
        <rFont val="Noto Sans CJK KR"/>
        <family val="2"/>
      </rPr>
      <t xml:space="preserve">📐 손익분기 계산 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Noto Sans CJK KR"/>
        <family val="2"/>
      </rPr>
      <t xml:space="preserve">광고비 제외 고정비 기준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</si>
  <si>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sz val="10"/>
        <color rgb="FF000000"/>
        <rFont val="Noto Sans CJK KR"/>
        <family val="2"/>
      </rPr>
      <t xml:space="preserve">고객당 순수익 </t>
    </r>
    <r>
      <rPr>
        <sz val="10"/>
        <color rgb="FF000000"/>
        <rFont val="Arial"/>
        <family val="0"/>
        <charset val="1"/>
      </rPr>
      <t xml:space="preserve">(AOV)</t>
    </r>
  </si>
  <si>
    <t xml:space="preserve">가정 시트에서 자동 참조</t>
  </si>
  <si>
    <t xml:space="preserve">월 고정비</t>
  </si>
  <si>
    <t xml:space="preserve">고정비 합계</t>
  </si>
  <si>
    <r>
      <rPr>
        <b val="true"/>
        <sz val="10"/>
        <color rgb="FF1A1A2E"/>
        <rFont val="Noto Sans CJK KR"/>
        <family val="2"/>
      </rPr>
      <t xml:space="preserve">손익분기 </t>
    </r>
    <r>
      <rPr>
        <b val="true"/>
        <sz val="10"/>
        <color rgb="FF1A1A2E"/>
        <rFont val="Arial"/>
        <family val="0"/>
        <charset val="1"/>
      </rPr>
      <t xml:space="preserve">T1 </t>
    </r>
    <r>
      <rPr>
        <b val="true"/>
        <sz val="10"/>
        <color rgb="FF1A1A2E"/>
        <rFont val="Noto Sans CJK KR"/>
        <family val="2"/>
      </rPr>
      <t xml:space="preserve">구매자 수</t>
    </r>
  </si>
  <si>
    <t xml:space="preserve">최소 구매자 수</t>
  </si>
  <si>
    <t xml:space="preserve">손익분기 검사 완료자 수</t>
  </si>
  <si>
    <t xml:space="preserve">검사완료 필요수</t>
  </si>
  <si>
    <t xml:space="preserve">손익분기 필요 광고비</t>
  </si>
  <si>
    <r>
      <rPr>
        <sz val="9"/>
        <color rgb="FF888888"/>
        <rFont val="Arial"/>
        <family val="0"/>
        <charset val="1"/>
      </rPr>
      <t xml:space="preserve">$/</t>
    </r>
    <r>
      <rPr>
        <sz val="9"/>
        <color rgb="FF888888"/>
        <rFont val="Noto Sans CJK KR"/>
        <family val="2"/>
      </rPr>
      <t xml:space="preserve">월</t>
    </r>
  </si>
  <si>
    <t xml:space="preserve">🎯 목표 월 순수익 역산 계산기</t>
  </si>
  <si>
    <r>
      <rPr>
        <b val="true"/>
        <sz val="10"/>
        <color rgb="FFFFFFFF"/>
        <rFont val="Noto Sans CJK KR"/>
        <family val="2"/>
      </rPr>
      <t xml:space="preserve">목표 순수익</t>
    </r>
    <r>
      <rPr>
        <b val="true"/>
        <sz val="10"/>
        <color rgb="FFFFFFFF"/>
        <rFont val="Arial"/>
        <family val="0"/>
        <charset val="1"/>
      </rPr>
      <t xml:space="preserve">($)</t>
    </r>
  </si>
  <si>
    <r>
      <rPr>
        <b val="true"/>
        <sz val="10"/>
        <color rgb="FFFFFFFF"/>
        <rFont val="Noto Sans CJK KR"/>
        <family val="2"/>
      </rPr>
      <t xml:space="preserve">필요 </t>
    </r>
    <r>
      <rPr>
        <b val="true"/>
        <sz val="10"/>
        <color rgb="FFFFFFFF"/>
        <rFont val="Arial"/>
        <family val="0"/>
        <charset val="1"/>
      </rPr>
      <t xml:space="preserve">T1 </t>
    </r>
    <r>
      <rPr>
        <b val="true"/>
        <sz val="10"/>
        <color rgb="FFFFFFFF"/>
        <rFont val="Noto Sans CJK KR"/>
        <family val="2"/>
      </rPr>
      <t xml:space="preserve">구매자</t>
    </r>
  </si>
  <si>
    <t xml:space="preserve">필요 광고비</t>
  </si>
  <si>
    <r>
      <rPr>
        <b val="true"/>
        <sz val="9"/>
        <color rgb="FFE94560"/>
        <rFont val="Noto Sans CJK KR"/>
        <family val="2"/>
      </rPr>
      <t xml:space="preserve">← 추천 </t>
    </r>
    <r>
      <rPr>
        <b val="true"/>
        <sz val="9"/>
        <color rgb="FFE94560"/>
        <rFont val="Arial"/>
        <family val="0"/>
        <charset val="1"/>
      </rPr>
      <t xml:space="preserve">1</t>
    </r>
    <r>
      <rPr>
        <b val="true"/>
        <sz val="9"/>
        <color rgb="FFE94560"/>
        <rFont val="Noto Sans CJK KR"/>
        <family val="2"/>
      </rPr>
      <t xml:space="preserve">차 목표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</si>
</sst>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%"/>
    <numFmt numFmtId="167" formatCode="\$#,##0"/>
    <numFmt numFmtId="168" formatCode="#,##0"/>
    <numFmt numFmtId="169" formatCode="0.0\x"/>
  </numFmts>
  <fonts count="5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KR"/>
      <family val="2"/>
    </font>
    <font>
      <sz val="9"/>
      <color rgb="FF666666"/>
      <name val="Noto Sans CJK KR"/>
      <family val="2"/>
    </font>
    <font>
      <sz val="9"/>
      <color rgb="FF666666"/>
      <name val="Arial"/>
      <family val="0"/>
      <charset val="1"/>
    </font>
    <font>
      <b val="true"/>
      <sz val="12"/>
      <color rgb="FFFFFFFF"/>
      <name val="Noto Sans CJK KR"/>
      <family val="2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Noto Sans CJK KR"/>
      <family val="2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444444"/>
      <name val="Arial"/>
      <family val="0"/>
      <charset val="1"/>
    </font>
    <font>
      <sz val="9"/>
      <color rgb="FFE94560"/>
      <name val="Noto Sans CJK KR"/>
      <family val="2"/>
    </font>
    <font>
      <sz val="9"/>
      <color rgb="FFE94560"/>
      <name val="Arial"/>
      <family val="0"/>
      <charset val="1"/>
    </font>
    <font>
      <sz val="9"/>
      <color rgb="FF444444"/>
      <name val="Noto Sans CJK KR"/>
      <family val="2"/>
    </font>
    <font>
      <sz val="10"/>
      <color rgb="FF000000"/>
      <name val="Noto Sans CJK KR"/>
      <family val="2"/>
    </font>
    <font>
      <sz val="9"/>
      <color rgb="FF888888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b val="true"/>
      <sz val="10"/>
      <color rgb="FF2C3E50"/>
      <name val="Noto Sans CJK KR"/>
      <family val="2"/>
    </font>
    <font>
      <b val="true"/>
      <sz val="10"/>
      <color rgb="FF000000"/>
      <name val="Noto Sans CJK KR"/>
      <family val="2"/>
    </font>
    <font>
      <b val="true"/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1A1A2E"/>
      <name val="Noto Sans CJK KR"/>
      <family val="2"/>
    </font>
    <font>
      <b val="true"/>
      <sz val="11"/>
      <color rgb="FF1A1A2E"/>
      <name val="Arial"/>
      <family val="0"/>
      <charset val="1"/>
    </font>
    <font>
      <b val="true"/>
      <sz val="14"/>
      <color rgb="FF1A1A2E"/>
      <name val="Arial"/>
      <family val="0"/>
      <charset val="1"/>
    </font>
    <font>
      <sz val="9"/>
      <color rgb="FF888888"/>
      <name val="Noto Sans CJK KR"/>
      <family val="2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Noto Sans CJK KR"/>
      <family val="2"/>
    </font>
    <font>
      <sz val="9"/>
      <color rgb="FF555555"/>
      <name val="Noto Sans CJK KR"/>
      <family val="2"/>
    </font>
    <font>
      <sz val="9"/>
      <color rgb="FF555555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KR"/>
      <family val="2"/>
    </font>
    <font>
      <b val="true"/>
      <sz val="11"/>
      <color rgb="FFF5A623"/>
      <name val="Arial"/>
      <family val="0"/>
      <charset val="1"/>
    </font>
    <font>
      <b val="true"/>
      <sz val="12"/>
      <color rgb="FFF5A623"/>
      <name val="Arial"/>
      <family val="0"/>
      <charset val="1"/>
    </font>
    <font>
      <b val="true"/>
      <sz val="11"/>
      <color rgb="FFFFAAAA"/>
      <name val="Arial"/>
      <family val="0"/>
      <charset val="1"/>
    </font>
    <font>
      <b val="true"/>
      <sz val="13"/>
      <color rgb="FFF5A623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0"/>
      <color rgb="FFE94560"/>
      <name val="Noto Sans CJK KR"/>
      <family val="2"/>
    </font>
    <font>
      <sz val="9"/>
      <color rgb="FF000000"/>
      <name val="Noto Sans CJK KR"/>
      <family val="2"/>
    </font>
    <font>
      <sz val="9"/>
      <color rgb="FF000000"/>
      <name val="Arial"/>
      <family val="0"/>
      <charset val="1"/>
    </font>
    <font>
      <sz val="10"/>
      <color rgb="FF333333"/>
      <name val="Arial"/>
      <family val="0"/>
      <charset val="1"/>
    </font>
    <font>
      <sz val="10"/>
      <color rgb="FF333333"/>
      <name val="Noto Sans CJK KR"/>
      <family val="2"/>
    </font>
    <font>
      <b val="true"/>
      <sz val="10"/>
      <color rgb="FF555555"/>
      <name val="Arial"/>
      <family val="0"/>
      <charset val="1"/>
    </font>
    <font>
      <b val="true"/>
      <sz val="10"/>
      <color rgb="FF2980B9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b val="true"/>
      <sz val="10"/>
      <color rgb="FF1A1A2E"/>
      <name val="Noto Sans CJK KR"/>
      <family val="2"/>
    </font>
    <font>
      <sz val="10"/>
      <color rgb="FF0000FF"/>
      <name val="Arial"/>
      <family val="0"/>
      <charset val="1"/>
    </font>
    <font>
      <b val="true"/>
      <sz val="12"/>
      <color rgb="FF1A1A2E"/>
      <name val="Arial"/>
      <family val="0"/>
      <charset val="1"/>
    </font>
    <font>
      <b val="true"/>
      <sz val="9"/>
      <color rgb="FFE94560"/>
      <name val="Arial"/>
      <family val="0"/>
      <charset val="1"/>
    </font>
    <font>
      <b val="true"/>
      <sz val="9"/>
      <color rgb="FFE94560"/>
      <name val="Noto Sans CJK KR"/>
      <family val="2"/>
    </font>
  </fonts>
  <fills count="22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F8F9FA"/>
        <bgColor rgb="FFF0FAF5"/>
      </patternFill>
    </fill>
    <fill>
      <patternFill patternType="solid">
        <fgColor rgb="FFE94560"/>
        <bgColor rgb="FFFF8080"/>
      </patternFill>
    </fill>
    <fill>
      <patternFill patternType="solid">
        <fgColor rgb="FF2C3E50"/>
        <bgColor rgb="FF333333"/>
      </patternFill>
    </fill>
    <fill>
      <patternFill patternType="solid">
        <fgColor rgb="FFFFFACD"/>
        <bgColor rgb="FFFEF9E7"/>
      </patternFill>
    </fill>
    <fill>
      <patternFill patternType="solid">
        <fgColor rgb="FF2980B9"/>
        <bgColor rgb="FF008080"/>
      </patternFill>
    </fill>
    <fill>
      <patternFill patternType="solid">
        <fgColor rgb="FF27AE60"/>
        <bgColor rgb="FF008080"/>
      </patternFill>
    </fill>
    <fill>
      <patternFill patternType="solid">
        <fgColor rgb="FFE8F8F5"/>
        <bgColor rgb="FFEAFAF1"/>
      </patternFill>
    </fill>
    <fill>
      <patternFill patternType="solid">
        <fgColor rgb="FFEAFAF1"/>
        <bgColor rgb="FFE8F8F5"/>
      </patternFill>
    </fill>
    <fill>
      <patternFill patternType="solid">
        <fgColor rgb="FFF5A623"/>
        <bgColor rgb="FFFF8080"/>
      </patternFill>
    </fill>
    <fill>
      <patternFill patternType="solid">
        <fgColor rgb="FFF0F0F0"/>
        <bgColor rgb="FFEBF5FB"/>
      </patternFill>
    </fill>
    <fill>
      <patternFill patternType="solid">
        <fgColor rgb="FFFFFFFF"/>
        <bgColor rgb="FFFDFEFE"/>
      </patternFill>
    </fill>
    <fill>
      <patternFill patternType="solid">
        <fgColor rgb="FFF0FAF5"/>
        <bgColor rgb="FFEAFAF1"/>
      </patternFill>
    </fill>
    <fill>
      <patternFill patternType="solid">
        <fgColor rgb="FFEBF5FB"/>
        <bgColor rgb="FFE8F4FD"/>
      </patternFill>
    </fill>
    <fill>
      <patternFill patternType="solid">
        <fgColor rgb="FFFDFEFE"/>
        <bgColor rgb="FFFFFFFF"/>
      </patternFill>
    </fill>
    <fill>
      <patternFill patternType="solid">
        <fgColor rgb="FF8E44AD"/>
        <bgColor rgb="FF666666"/>
      </patternFill>
    </fill>
    <fill>
      <patternFill patternType="solid">
        <fgColor rgb="FFE8F4FD"/>
        <bgColor rgb="FFEBF5FB"/>
      </patternFill>
    </fill>
    <fill>
      <patternFill patternType="solid">
        <fgColor rgb="FFFDEDEC"/>
        <bgColor rgb="FFF0F0F0"/>
      </patternFill>
    </fill>
    <fill>
      <patternFill patternType="solid">
        <fgColor rgb="FFFEF9E7"/>
        <bgColor rgb="FFFFFEF5"/>
      </patternFill>
    </fill>
    <fill>
      <patternFill patternType="solid">
        <fgColor rgb="FFFFFEF5"/>
        <bgColor rgb="FFFDFE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2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1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0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3" fillId="2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3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EF5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F0F0F0"/>
      <rgbColor rgb="FF888888"/>
      <rgbColor rgb="FF9999FF"/>
      <rgbColor rgb="FF8E44AD"/>
      <rgbColor rgb="FFFFFACD"/>
      <rgbColor rgb="FFE8F8F5"/>
      <rgbColor rgb="FF660066"/>
      <rgbColor rgb="FFFF8080"/>
      <rgbColor rgb="FF0066CC"/>
      <rgbColor rgb="FFDDDDDD"/>
      <rgbColor rgb="FF000080"/>
      <rgbColor rgb="FFFF00FF"/>
      <rgbColor rgb="FFF8F9FA"/>
      <rgbColor rgb="FF00FFFF"/>
      <rgbColor rgb="FF800080"/>
      <rgbColor rgb="FF800000"/>
      <rgbColor rgb="FF008080"/>
      <rgbColor rgb="FF0000FF"/>
      <rgbColor rgb="FF00CCFF"/>
      <rgbColor rgb="FFEAFAF1"/>
      <rgbColor rgb="FFE8F4FD"/>
      <rgbColor rgb="FFFEF9E7"/>
      <rgbColor rgb="FFEBF5FB"/>
      <rgbColor rgb="FFFFAAAA"/>
      <rgbColor rgb="FFF0FAF5"/>
      <rgbColor rgb="FFFDEDEC"/>
      <rgbColor rgb="FF3366FF"/>
      <rgbColor rgb="FF33CCCC"/>
      <rgbColor rgb="FF99CC00"/>
      <rgbColor rgb="FFFDFEFE"/>
      <rgbColor rgb="FFF5A623"/>
      <rgbColor rgb="FFE94560"/>
      <rgbColor rgb="FF666666"/>
      <rgbColor rgb="FF969696"/>
      <rgbColor rgb="FF003366"/>
      <rgbColor rgb="FF27AE60"/>
      <rgbColor rgb="FF1A1A2E"/>
      <rgbColor rgb="FF444444"/>
      <rgbColor rgb="FF993300"/>
      <rgbColor rgb="FF555555"/>
      <rgbColor rgb="FF2C3E5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3" customFormat="false" ht="7.5" hidden="false" customHeight="true" outlineLevel="0" collapsed="false"/>
    <row r="4" customFormat="false" ht="27.75" hidden="false" customHeight="true" outlineLevel="0" collapsed="false">
      <c r="A4" s="3" t="s">
        <v>2</v>
      </c>
      <c r="B4" s="3"/>
      <c r="C4" s="3"/>
      <c r="D4" s="3"/>
      <c r="E4" s="3"/>
    </row>
    <row r="5" customFormat="false" ht="19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9.5" hidden="false" customHeight="true" outlineLevel="0" collapsed="false">
      <c r="A6" s="5" t="s">
        <v>7</v>
      </c>
      <c r="B6" s="6" t="n">
        <v>6.9</v>
      </c>
      <c r="C6" s="7" t="s">
        <v>8</v>
      </c>
      <c r="D6" s="8" t="s">
        <v>9</v>
      </c>
    </row>
    <row r="7" customFormat="false" ht="19.5" hidden="false" customHeight="true" outlineLevel="0" collapsed="false">
      <c r="A7" s="5" t="s">
        <v>10</v>
      </c>
      <c r="B7" s="6" t="n">
        <v>13.9</v>
      </c>
      <c r="C7" s="7" t="s">
        <v>11</v>
      </c>
      <c r="D7" s="8" t="s">
        <v>12</v>
      </c>
    </row>
    <row r="8" customFormat="false" ht="19.5" hidden="false" customHeight="true" outlineLevel="0" collapsed="false">
      <c r="A8" s="5" t="s">
        <v>13</v>
      </c>
      <c r="B8" s="6" t="n">
        <v>24.9</v>
      </c>
      <c r="C8" s="7" t="s">
        <v>14</v>
      </c>
      <c r="D8" s="8" t="s">
        <v>15</v>
      </c>
    </row>
    <row r="9" customFormat="false" ht="19.5" hidden="false" customHeight="true" outlineLevel="0" collapsed="false">
      <c r="A9" s="5" t="s">
        <v>16</v>
      </c>
      <c r="B9" s="6" t="n">
        <v>27.9</v>
      </c>
      <c r="C9" s="7" t="s">
        <v>17</v>
      </c>
      <c r="D9" s="8" t="s">
        <v>18</v>
      </c>
    </row>
    <row r="11" customFormat="false" ht="7.5" hidden="false" customHeight="true" outlineLevel="0" collapsed="false"/>
    <row r="12" customFormat="false" ht="27.75" hidden="false" customHeight="true" outlineLevel="0" collapsed="false">
      <c r="A12" s="9" t="s">
        <v>19</v>
      </c>
      <c r="B12" s="9"/>
      <c r="C12" s="9"/>
      <c r="D12" s="9"/>
      <c r="E12" s="9"/>
    </row>
    <row r="13" customFormat="false" ht="19.5" hidden="false" customHeight="true" outlineLevel="0" collapsed="false">
      <c r="A13" s="4" t="s">
        <v>20</v>
      </c>
      <c r="B13" s="4" t="s">
        <v>21</v>
      </c>
      <c r="C13" s="4" t="s">
        <v>22</v>
      </c>
      <c r="D13" s="4" t="s">
        <v>23</v>
      </c>
    </row>
    <row r="14" customFormat="false" ht="19.5" hidden="false" customHeight="true" outlineLevel="0" collapsed="false">
      <c r="A14" s="10" t="s">
        <v>24</v>
      </c>
      <c r="B14" s="11" t="n">
        <v>0.035</v>
      </c>
      <c r="C14" s="12" t="s">
        <v>25</v>
      </c>
      <c r="D14" s="13" t="s">
        <v>26</v>
      </c>
    </row>
    <row r="15" customFormat="false" ht="19.5" hidden="false" customHeight="true" outlineLevel="0" collapsed="false">
      <c r="A15" s="5" t="s">
        <v>27</v>
      </c>
      <c r="B15" s="11" t="n">
        <v>0.24</v>
      </c>
      <c r="C15" s="12" t="s">
        <v>25</v>
      </c>
      <c r="D15" s="7" t="s">
        <v>28</v>
      </c>
    </row>
    <row r="16" customFormat="false" ht="19.5" hidden="false" customHeight="true" outlineLevel="0" collapsed="false">
      <c r="A16" s="10" t="s">
        <v>29</v>
      </c>
      <c r="B16" s="11" t="n">
        <v>0.1</v>
      </c>
      <c r="C16" s="12" t="s">
        <v>25</v>
      </c>
      <c r="D16" s="13" t="s">
        <v>30</v>
      </c>
    </row>
    <row r="17" customFormat="false" ht="19.5" hidden="false" customHeight="true" outlineLevel="0" collapsed="false">
      <c r="A17" s="10" t="s">
        <v>31</v>
      </c>
      <c r="B17" s="11" t="n">
        <v>0.05</v>
      </c>
      <c r="C17" s="12" t="s">
        <v>25</v>
      </c>
      <c r="D17" s="7" t="s">
        <v>32</v>
      </c>
    </row>
    <row r="18" customFormat="false" ht="19.5" hidden="false" customHeight="true" outlineLevel="0" collapsed="false">
      <c r="A18" s="10" t="s">
        <v>33</v>
      </c>
      <c r="B18" s="11" t="n">
        <v>0.099</v>
      </c>
      <c r="C18" s="12" t="s">
        <v>25</v>
      </c>
      <c r="D18" s="13" t="s">
        <v>34</v>
      </c>
    </row>
    <row r="19" customFormat="false" ht="19.5" hidden="false" customHeight="true" outlineLevel="0" collapsed="false">
      <c r="A19" s="10" t="s">
        <v>35</v>
      </c>
      <c r="B19" s="6" t="n">
        <v>0.3</v>
      </c>
      <c r="C19" s="12" t="s">
        <v>36</v>
      </c>
      <c r="D19" s="13" t="s">
        <v>37</v>
      </c>
    </row>
    <row r="22" customFormat="false" ht="7.5" hidden="false" customHeight="true" outlineLevel="0" collapsed="false"/>
    <row r="23" customFormat="false" ht="27.75" hidden="false" customHeight="true" outlineLevel="0" collapsed="false">
      <c r="A23" s="14" t="s">
        <v>38</v>
      </c>
      <c r="B23" s="14"/>
      <c r="C23" s="14"/>
      <c r="D23" s="14"/>
      <c r="E23" s="14"/>
    </row>
    <row r="24" customFormat="false" ht="19.5" hidden="false" customHeight="true" outlineLevel="0" collapsed="false">
      <c r="A24" s="15" t="s">
        <v>39</v>
      </c>
      <c r="B24" s="16"/>
      <c r="C24" s="16"/>
      <c r="D24" s="16"/>
      <c r="E24" s="16"/>
    </row>
    <row r="25" customFormat="false" ht="19.5" hidden="false" customHeight="true" outlineLevel="0" collapsed="false">
      <c r="A25" s="5" t="s">
        <v>40</v>
      </c>
      <c r="B25" s="17" t="n">
        <f aca="false">100*B6</f>
        <v>690</v>
      </c>
    </row>
    <row r="26" customFormat="false" ht="19.5" hidden="false" customHeight="true" outlineLevel="0" collapsed="false">
      <c r="A26" s="5" t="s">
        <v>41</v>
      </c>
      <c r="B26" s="17" t="n">
        <f aca="false">100*B15*B7</f>
        <v>333.6</v>
      </c>
    </row>
    <row r="27" customFormat="false" ht="19.5" hidden="false" customHeight="true" outlineLevel="0" collapsed="false">
      <c r="A27" s="10" t="s">
        <v>42</v>
      </c>
      <c r="B27" s="17" t="n">
        <f aca="false">100*B16*B8</f>
        <v>249</v>
      </c>
    </row>
    <row r="28" customFormat="false" ht="19.5" hidden="false" customHeight="true" outlineLevel="0" collapsed="false">
      <c r="A28" s="10" t="s">
        <v>43</v>
      </c>
      <c r="B28" s="17" t="n">
        <f aca="false">100*B17*B9</f>
        <v>139.5</v>
      </c>
    </row>
    <row r="29" customFormat="false" ht="19.5" hidden="false" customHeight="true" outlineLevel="0" collapsed="false">
      <c r="A29" s="10" t="s">
        <v>44</v>
      </c>
      <c r="B29" s="17" t="n">
        <f aca="false">B25+B26+B27+B28</f>
        <v>1412.1</v>
      </c>
    </row>
    <row r="30" customFormat="false" ht="19.5" hidden="false" customHeight="true" outlineLevel="0" collapsed="false">
      <c r="A30" s="10" t="s">
        <v>45</v>
      </c>
      <c r="B30" s="17" t="n">
        <f aca="false">-B29*B18</f>
        <v>-139.7979</v>
      </c>
    </row>
    <row r="31" customFormat="false" ht="19.5" hidden="false" customHeight="true" outlineLevel="0" collapsed="false">
      <c r="A31" s="18" t="s">
        <v>46</v>
      </c>
      <c r="B31" s="19" t="n">
        <f aca="false">B29+B30</f>
        <v>1272.3021</v>
      </c>
      <c r="C31" s="20"/>
      <c r="D31" s="20"/>
      <c r="E31" s="20"/>
    </row>
    <row r="32" customFormat="false" ht="19.5" hidden="false" customHeight="true" outlineLevel="0" collapsed="false">
      <c r="A32" s="21" t="s">
        <v>47</v>
      </c>
      <c r="B32" s="22" t="n">
        <f aca="false">B31/100</f>
        <v>12.723021</v>
      </c>
      <c r="C32" s="23"/>
      <c r="D32" s="23"/>
      <c r="E32" s="23"/>
    </row>
    <row r="34" customFormat="false" ht="7.5" hidden="false" customHeight="true" outlineLevel="0" collapsed="false"/>
    <row r="35" customFormat="false" ht="15" hidden="false" customHeight="false" outlineLevel="0" collapsed="false">
      <c r="A35" s="24" t="s">
        <v>48</v>
      </c>
    </row>
    <row r="36" customFormat="false" ht="15" hidden="false" customHeight="false" outlineLevel="0" collapsed="false">
      <c r="A36" s="24" t="s">
        <v>49</v>
      </c>
    </row>
  </sheetData>
  <mergeCells count="5">
    <mergeCell ref="A1:E1"/>
    <mergeCell ref="A2:E2"/>
    <mergeCell ref="A4:E4"/>
    <mergeCell ref="A12:E12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7" min="2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33.75" hidden="false" customHeight="true" outlineLevel="0" collapsed="false">
      <c r="A1" s="25" t="s">
        <v>50</v>
      </c>
      <c r="B1" s="25"/>
      <c r="C1" s="25"/>
      <c r="D1" s="25"/>
      <c r="E1" s="25"/>
      <c r="F1" s="25"/>
      <c r="G1" s="25"/>
      <c r="H1" s="25"/>
      <c r="I1" s="25"/>
      <c r="J1" s="25"/>
    </row>
    <row r="2" customFormat="false" ht="15.75" hidden="false" customHeight="true" outlineLevel="0" collapsed="false">
      <c r="A2" s="26" t="s">
        <v>51</v>
      </c>
      <c r="B2" s="26"/>
      <c r="C2" s="26"/>
      <c r="D2" s="26"/>
      <c r="E2" s="26"/>
      <c r="F2" s="26"/>
      <c r="G2" s="26"/>
      <c r="H2" s="26"/>
      <c r="I2" s="26"/>
      <c r="J2" s="26"/>
    </row>
    <row r="3" customFormat="false" ht="7.5" hidden="false" customHeight="true" outlineLevel="0" collapsed="false"/>
    <row r="4" customFormat="false" ht="25.5" hidden="false" customHeight="true" outlineLevel="0" collapsed="false">
      <c r="A4" s="3" t="s">
        <v>52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21.75" hidden="false" customHeight="true" outlineLevel="0" collapsed="false">
      <c r="A5" s="4" t="s">
        <v>53</v>
      </c>
      <c r="B5" s="4" t="s">
        <v>54</v>
      </c>
      <c r="C5" s="4" t="s">
        <v>55</v>
      </c>
      <c r="D5" s="27" t="s">
        <v>56</v>
      </c>
      <c r="E5" s="27" t="s">
        <v>57</v>
      </c>
      <c r="F5" s="27" t="s">
        <v>58</v>
      </c>
      <c r="G5" s="27" t="s">
        <v>59</v>
      </c>
      <c r="H5" s="4" t="s">
        <v>60</v>
      </c>
      <c r="I5" s="4" t="s">
        <v>33</v>
      </c>
      <c r="J5" s="4" t="s">
        <v>61</v>
      </c>
    </row>
    <row r="6" customFormat="false" ht="19.5" hidden="false" customHeight="true" outlineLevel="0" collapsed="false">
      <c r="A6" s="28" t="s">
        <v>62</v>
      </c>
      <c r="B6" s="29" t="n">
        <v>200</v>
      </c>
      <c r="C6" s="30" t="n">
        <f aca="false">ROUND(B6/'① 핵심 가정'!B19,0)</f>
        <v>667</v>
      </c>
      <c r="D6" s="30" t="n">
        <f aca="false">ROUND(C6*'① 핵심 가정'!B14,0)</f>
        <v>23</v>
      </c>
      <c r="E6" s="30" t="n">
        <f aca="false">ROUND(D6*'① 핵심 가정'!B15,0)</f>
        <v>6</v>
      </c>
      <c r="F6" s="30" t="n">
        <f aca="false">ROUND(D6*'① 핵심 가정'!B16,0)</f>
        <v>2</v>
      </c>
      <c r="G6" s="30" t="n">
        <f aca="false">ROUND(D6*'① 핵심 가정'!B17,0)</f>
        <v>1</v>
      </c>
      <c r="H6" s="31" t="n">
        <f aca="false">D6*'① 핵심 가정'!B6+E6*'① 핵심 가정'!B7+F6*'① 핵심 가정'!B8+G6*'① 핵심 가정'!B9</f>
        <v>319.8</v>
      </c>
      <c r="I6" s="32" t="n">
        <f aca="false">-H6*'① 핵심 가정'!B18</f>
        <v>-31.6602</v>
      </c>
      <c r="J6" s="33" t="n">
        <f aca="false">H6+I6-B6</f>
        <v>88.1398</v>
      </c>
    </row>
    <row r="7" customFormat="false" ht="19.5" hidden="false" customHeight="true" outlineLevel="0" collapsed="false">
      <c r="A7" s="34" t="s">
        <v>63</v>
      </c>
      <c r="B7" s="29" t="n">
        <v>250</v>
      </c>
      <c r="C7" s="35" t="n">
        <f aca="false">ROUND(B7/'① 핵심 가정'!B19,0)</f>
        <v>833</v>
      </c>
      <c r="D7" s="35" t="n">
        <f aca="false">ROUND(C7*'① 핵심 가정'!B14,0)</f>
        <v>29</v>
      </c>
      <c r="E7" s="35" t="n">
        <f aca="false">ROUND(D7*'① 핵심 가정'!B15,0)</f>
        <v>7</v>
      </c>
      <c r="F7" s="35" t="n">
        <f aca="false">ROUND(D7*'① 핵심 가정'!B16,0)</f>
        <v>3</v>
      </c>
      <c r="G7" s="35" t="n">
        <f aca="false">ROUND(D7*'① 핵심 가정'!B17,0)</f>
        <v>1</v>
      </c>
      <c r="H7" s="36" t="n">
        <f aca="false">D7*'① 핵심 가정'!B6+E7*'① 핵심 가정'!B7+F7*'① 핵심 가정'!B8+G7*'① 핵심 가정'!B9</f>
        <v>400</v>
      </c>
      <c r="I7" s="37" t="n">
        <f aca="false">-H7*'① 핵심 가정'!B18</f>
        <v>-39.6</v>
      </c>
      <c r="J7" s="38" t="n">
        <f aca="false">H7+I7-B7</f>
        <v>110.4</v>
      </c>
    </row>
    <row r="8" customFormat="false" ht="19.5" hidden="false" customHeight="true" outlineLevel="0" collapsed="false">
      <c r="A8" s="28" t="s">
        <v>64</v>
      </c>
      <c r="B8" s="29" t="n">
        <v>300</v>
      </c>
      <c r="C8" s="30" t="n">
        <f aca="false">ROUND(B8/'① 핵심 가정'!B19,0)</f>
        <v>1000</v>
      </c>
      <c r="D8" s="30" t="n">
        <f aca="false">ROUND(C8*'① 핵심 가정'!B14,0)</f>
        <v>35</v>
      </c>
      <c r="E8" s="30" t="n">
        <f aca="false">ROUND(D8*'① 핵심 가정'!B15,0)</f>
        <v>8</v>
      </c>
      <c r="F8" s="30" t="n">
        <f aca="false">ROUND(D8*'① 핵심 가정'!B16,0)</f>
        <v>4</v>
      </c>
      <c r="G8" s="30" t="n">
        <f aca="false">ROUND(D8*'① 핵심 가정'!B17,0)</f>
        <v>2</v>
      </c>
      <c r="H8" s="31" t="n">
        <f aca="false">D8*'① 핵심 가정'!B6+E8*'① 핵심 가정'!B7+F8*'① 핵심 가정'!B8+G8*'① 핵심 가정'!B9</f>
        <v>508.1</v>
      </c>
      <c r="I8" s="32" t="n">
        <f aca="false">-H8*'① 핵심 가정'!B18</f>
        <v>-50.3019</v>
      </c>
      <c r="J8" s="33" t="n">
        <f aca="false">H8+I8-B8</f>
        <v>157.7981</v>
      </c>
    </row>
    <row r="9" customFormat="false" ht="19.5" hidden="false" customHeight="true" outlineLevel="0" collapsed="false">
      <c r="A9" s="34" t="s">
        <v>65</v>
      </c>
      <c r="B9" s="29" t="n">
        <v>400</v>
      </c>
      <c r="C9" s="35" t="n">
        <f aca="false">ROUND(B9/'① 핵심 가정'!B19,0)</f>
        <v>1333</v>
      </c>
      <c r="D9" s="35" t="n">
        <f aca="false">ROUND(C9*'① 핵심 가정'!B14,0)</f>
        <v>47</v>
      </c>
      <c r="E9" s="35" t="n">
        <f aca="false">ROUND(D9*'① 핵심 가정'!B15,0)</f>
        <v>11</v>
      </c>
      <c r="F9" s="35" t="n">
        <f aca="false">ROUND(D9*'① 핵심 가정'!B16,0)</f>
        <v>5</v>
      </c>
      <c r="G9" s="35" t="n">
        <f aca="false">ROUND(D9*'① 핵심 가정'!B17,0)</f>
        <v>2</v>
      </c>
      <c r="H9" s="36" t="n">
        <f aca="false">D9*'① 핵심 가정'!B6+E9*'① 핵심 가정'!B7+F9*'① 핵심 가정'!B8+G9*'① 핵심 가정'!B9</f>
        <v>657.5</v>
      </c>
      <c r="I9" s="37" t="n">
        <f aca="false">-H9*'① 핵심 가정'!B18</f>
        <v>-65.0925</v>
      </c>
      <c r="J9" s="38" t="n">
        <f aca="false">H9+I9-B9</f>
        <v>192.4075</v>
      </c>
    </row>
    <row r="10" customFormat="false" ht="19.5" hidden="false" customHeight="true" outlineLevel="0" collapsed="false">
      <c r="A10" s="28" t="s">
        <v>66</v>
      </c>
      <c r="B10" s="29" t="n">
        <v>500</v>
      </c>
      <c r="C10" s="30" t="n">
        <f aca="false">ROUND(B10/'① 핵심 가정'!B19,0)</f>
        <v>1667</v>
      </c>
      <c r="D10" s="30" t="n">
        <f aca="false">ROUND(C10*'① 핵심 가정'!B14,0)</f>
        <v>58</v>
      </c>
      <c r="E10" s="30" t="n">
        <f aca="false">ROUND(D10*'① 핵심 가정'!B15,0)</f>
        <v>14</v>
      </c>
      <c r="F10" s="30" t="n">
        <f aca="false">ROUND(D10*'① 핵심 가정'!B16,0)</f>
        <v>6</v>
      </c>
      <c r="G10" s="30" t="n">
        <f aca="false">ROUND(D10*'① 핵심 가정'!B17,0)</f>
        <v>3</v>
      </c>
      <c r="H10" s="31" t="n">
        <f aca="false">D10*'① 핵심 가정'!B6+E10*'① 핵심 가정'!B7+F10*'① 핵심 가정'!B8+G10*'① 핵심 가정'!B9</f>
        <v>827.9</v>
      </c>
      <c r="I10" s="32" t="n">
        <f aca="false">-H10*'① 핵심 가정'!B18</f>
        <v>-81.9621</v>
      </c>
      <c r="J10" s="33" t="n">
        <f aca="false">H10+I10-B10</f>
        <v>245.9379</v>
      </c>
    </row>
    <row r="11" customFormat="false" ht="19.5" hidden="false" customHeight="true" outlineLevel="0" collapsed="false">
      <c r="A11" s="34" t="s">
        <v>67</v>
      </c>
      <c r="B11" s="29" t="n">
        <v>600</v>
      </c>
      <c r="C11" s="35" t="n">
        <f aca="false">ROUND(B11/'① 핵심 가정'!B19,0)</f>
        <v>2000</v>
      </c>
      <c r="D11" s="35" t="n">
        <f aca="false">ROUND(C11*'① 핵심 가정'!B14,0)</f>
        <v>70</v>
      </c>
      <c r="E11" s="35" t="n">
        <f aca="false">ROUND(D11*'① 핵심 가정'!B15,0)</f>
        <v>17</v>
      </c>
      <c r="F11" s="35" t="n">
        <f aca="false">ROUND(D11*'① 핵심 가정'!B16,0)</f>
        <v>7</v>
      </c>
      <c r="G11" s="35" t="n">
        <f aca="false">ROUND(D11*'① 핵심 가정'!B17,0)</f>
        <v>4</v>
      </c>
      <c r="H11" s="36" t="n">
        <f aca="false">D11*'① 핵심 가정'!B6+E11*'① 핵심 가정'!B7+F11*'① 핵심 가정'!B8+G11*'① 핵심 가정'!B9</f>
        <v>1005.2</v>
      </c>
      <c r="I11" s="37" t="n">
        <f aca="false">-H11*'① 핵심 가정'!B18</f>
        <v>-99.5148</v>
      </c>
      <c r="J11" s="38" t="n">
        <f aca="false">H11+I11-B11</f>
        <v>305.6852</v>
      </c>
    </row>
    <row r="12" customFormat="false" ht="19.5" hidden="false" customHeight="true" outlineLevel="0" collapsed="false">
      <c r="A12" s="28" t="s">
        <v>68</v>
      </c>
      <c r="B12" s="29" t="n">
        <v>700</v>
      </c>
      <c r="C12" s="30" t="n">
        <f aca="false">ROUND(B12/'① 핵심 가정'!B19,0)</f>
        <v>2333</v>
      </c>
      <c r="D12" s="30" t="n">
        <f aca="false">ROUND(C12*'① 핵심 가정'!B14,0)</f>
        <v>82</v>
      </c>
      <c r="E12" s="30" t="n">
        <f aca="false">ROUND(D12*'① 핵심 가정'!B15,0)</f>
        <v>20</v>
      </c>
      <c r="F12" s="30" t="n">
        <f aca="false">ROUND(D12*'① 핵심 가정'!B16,0)</f>
        <v>8</v>
      </c>
      <c r="G12" s="30" t="n">
        <f aca="false">ROUND(D12*'① 핵심 가정'!B17,0)</f>
        <v>4</v>
      </c>
      <c r="H12" s="31" t="n">
        <f aca="false">D12*'① 핵심 가정'!B6+E12*'① 핵심 가정'!B7+F12*'① 핵심 가정'!B8+G12*'① 핵심 가정'!B9</f>
        <v>1154.6</v>
      </c>
      <c r="I12" s="32" t="n">
        <f aca="false">-H12*'① 핵심 가정'!B18</f>
        <v>-114.3054</v>
      </c>
      <c r="J12" s="33" t="n">
        <f aca="false">H12+I12-B12</f>
        <v>340.2946</v>
      </c>
    </row>
    <row r="13" customFormat="false" ht="19.5" hidden="false" customHeight="true" outlineLevel="0" collapsed="false">
      <c r="A13" s="34" t="s">
        <v>69</v>
      </c>
      <c r="B13" s="29" t="n">
        <v>800</v>
      </c>
      <c r="C13" s="35" t="n">
        <f aca="false">ROUND(B13/'① 핵심 가정'!B19,0)</f>
        <v>2667</v>
      </c>
      <c r="D13" s="35" t="n">
        <f aca="false">ROUND(C13*'① 핵심 가정'!B14,0)</f>
        <v>93</v>
      </c>
      <c r="E13" s="35" t="n">
        <f aca="false">ROUND(D13*'① 핵심 가정'!B15,0)</f>
        <v>22</v>
      </c>
      <c r="F13" s="35" t="n">
        <f aca="false">ROUND(D13*'① 핵심 가정'!B16,0)</f>
        <v>9</v>
      </c>
      <c r="G13" s="35" t="n">
        <f aca="false">ROUND(D13*'① 핵심 가정'!B17,0)</f>
        <v>5</v>
      </c>
      <c r="H13" s="36" t="n">
        <f aca="false">D13*'① 핵심 가정'!B6+E13*'① 핵심 가정'!B7+F13*'① 핵심 가정'!B8+G13*'① 핵심 가정'!B9</f>
        <v>1311.1</v>
      </c>
      <c r="I13" s="37" t="n">
        <f aca="false">-H13*'① 핵심 가정'!B18</f>
        <v>-129.7989</v>
      </c>
      <c r="J13" s="38" t="n">
        <f aca="false">H13+I13-B13</f>
        <v>381.3011</v>
      </c>
    </row>
    <row r="14" customFormat="false" ht="19.5" hidden="false" customHeight="true" outlineLevel="0" collapsed="false">
      <c r="A14" s="28" t="s">
        <v>70</v>
      </c>
      <c r="B14" s="29" t="n">
        <v>900</v>
      </c>
      <c r="C14" s="30" t="n">
        <f aca="false">ROUND(B14/'① 핵심 가정'!B19,0)</f>
        <v>3000</v>
      </c>
      <c r="D14" s="30" t="n">
        <f aca="false">ROUND(C14*'① 핵심 가정'!B14,0)</f>
        <v>105</v>
      </c>
      <c r="E14" s="30" t="n">
        <f aca="false">ROUND(D14*'① 핵심 가정'!B15,0)</f>
        <v>25</v>
      </c>
      <c r="F14" s="30" t="n">
        <f aca="false">ROUND(D14*'① 핵심 가정'!B16,0)</f>
        <v>11</v>
      </c>
      <c r="G14" s="30" t="n">
        <f aca="false">ROUND(D14*'① 핵심 가정'!B17,0)</f>
        <v>5</v>
      </c>
      <c r="H14" s="31" t="n">
        <f aca="false">D14*'① 핵심 가정'!B6+E14*'① 핵심 가정'!B7+F14*'① 핵심 가정'!B8+G14*'① 핵심 가정'!B9</f>
        <v>1485.4</v>
      </c>
      <c r="I14" s="32" t="n">
        <f aca="false">-H14*'① 핵심 가정'!B18</f>
        <v>-147.0546</v>
      </c>
      <c r="J14" s="33" t="n">
        <f aca="false">H14+I14-B14</f>
        <v>438.3454</v>
      </c>
    </row>
    <row r="15" customFormat="false" ht="19.5" hidden="false" customHeight="true" outlineLevel="0" collapsed="false">
      <c r="A15" s="34" t="s">
        <v>71</v>
      </c>
      <c r="B15" s="29" t="n">
        <v>1000</v>
      </c>
      <c r="C15" s="35" t="n">
        <f aca="false">ROUND(B15/'① 핵심 가정'!B19,0)</f>
        <v>3333</v>
      </c>
      <c r="D15" s="35" t="n">
        <f aca="false">ROUND(C15*'① 핵심 가정'!B14,0)</f>
        <v>117</v>
      </c>
      <c r="E15" s="35" t="n">
        <f aca="false">ROUND(D15*'① 핵심 가정'!B15,0)</f>
        <v>28</v>
      </c>
      <c r="F15" s="35" t="n">
        <f aca="false">ROUND(D15*'① 핵심 가정'!B16,0)</f>
        <v>12</v>
      </c>
      <c r="G15" s="35" t="n">
        <f aca="false">ROUND(D15*'① 핵심 가정'!B17,0)</f>
        <v>6</v>
      </c>
      <c r="H15" s="36" t="n">
        <f aca="false">D15*'① 핵심 가정'!B6+E15*'① 핵심 가정'!B7+F15*'① 핵심 가정'!B8+G15*'① 핵심 가정'!B9</f>
        <v>1662.7</v>
      </c>
      <c r="I15" s="37" t="n">
        <f aca="false">-H15*'① 핵심 가정'!B18</f>
        <v>-164.6073</v>
      </c>
      <c r="J15" s="38" t="n">
        <f aca="false">H15+I15-B15</f>
        <v>498.0927</v>
      </c>
    </row>
    <row r="16" customFormat="false" ht="19.5" hidden="false" customHeight="true" outlineLevel="0" collapsed="false">
      <c r="A16" s="28" t="s">
        <v>72</v>
      </c>
      <c r="B16" s="29" t="n">
        <v>1200</v>
      </c>
      <c r="C16" s="30" t="n">
        <f aca="false">ROUND(B16/'① 핵심 가정'!B19,0)</f>
        <v>4000</v>
      </c>
      <c r="D16" s="30" t="n">
        <f aca="false">ROUND(C16*'① 핵심 가정'!B14,0)</f>
        <v>140</v>
      </c>
      <c r="E16" s="30" t="n">
        <f aca="false">ROUND(D16*'① 핵심 가정'!B15,0)</f>
        <v>34</v>
      </c>
      <c r="F16" s="30" t="n">
        <f aca="false">ROUND(D16*'① 핵심 가정'!B16,0)</f>
        <v>14</v>
      </c>
      <c r="G16" s="30" t="n">
        <f aca="false">ROUND(D16*'① 핵심 가정'!B17,0)</f>
        <v>7</v>
      </c>
      <c r="H16" s="31" t="n">
        <f aca="false">D16*'① 핵심 가정'!B6+E16*'① 핵심 가정'!B7+F16*'① 핵심 가정'!B8+G16*'① 핵심 가정'!B9</f>
        <v>1982.5</v>
      </c>
      <c r="I16" s="32" t="n">
        <f aca="false">-H16*'① 핵심 가정'!B18</f>
        <v>-196.2675</v>
      </c>
      <c r="J16" s="33" t="n">
        <f aca="false">H16+I16-B16</f>
        <v>586.2325</v>
      </c>
    </row>
    <row r="17" customFormat="false" ht="19.5" hidden="false" customHeight="true" outlineLevel="0" collapsed="false">
      <c r="A17" s="34" t="s">
        <v>73</v>
      </c>
      <c r="B17" s="29" t="n">
        <v>1500</v>
      </c>
      <c r="C17" s="35" t="n">
        <f aca="false">ROUND(B17/'① 핵심 가정'!B19,0)</f>
        <v>5000</v>
      </c>
      <c r="D17" s="35" t="n">
        <f aca="false">ROUND(C17*'① 핵심 가정'!B14,0)</f>
        <v>175</v>
      </c>
      <c r="E17" s="35" t="n">
        <f aca="false">ROUND(D17*'① 핵심 가정'!B15,0)</f>
        <v>42</v>
      </c>
      <c r="F17" s="35" t="n">
        <f aca="false">ROUND(D17*'① 핵심 가정'!B16,0)</f>
        <v>18</v>
      </c>
      <c r="G17" s="35" t="n">
        <f aca="false">ROUND(D17*'① 핵심 가정'!B17,0)</f>
        <v>9</v>
      </c>
      <c r="H17" s="36" t="n">
        <f aca="false">D17*'① 핵심 가정'!B6+E17*'① 핵심 가정'!B7+F17*'① 핵심 가정'!B8+G17*'① 핵심 가정'!B9</f>
        <v>2490.6</v>
      </c>
      <c r="I17" s="37" t="n">
        <f aca="false">-H17*'① 핵심 가정'!B18</f>
        <v>-246.5694</v>
      </c>
      <c r="J17" s="38" t="n">
        <f aca="false">H17+I17-B17</f>
        <v>744.0306</v>
      </c>
    </row>
    <row r="18" customFormat="false" ht="24" hidden="false" customHeight="true" outlineLevel="0" collapsed="false">
      <c r="A18" s="39" t="s">
        <v>74</v>
      </c>
      <c r="B18" s="40" t="n">
        <f aca="false">SUM(B6:B17)</f>
        <v>8350</v>
      </c>
      <c r="C18" s="41" t="n">
        <f aca="false">SUM(C6:C17)</f>
        <v>27833</v>
      </c>
      <c r="D18" s="41" t="n">
        <f aca="false">SUM(D6:D17)</f>
        <v>974</v>
      </c>
      <c r="E18" s="41" t="n">
        <f aca="false">SUM(E6:E17)</f>
        <v>234</v>
      </c>
      <c r="F18" s="41" t="n">
        <f aca="false">SUM(F6:F17)</f>
        <v>99</v>
      </c>
      <c r="G18" s="41" t="n">
        <f aca="false">SUM(G6:G17)</f>
        <v>49</v>
      </c>
      <c r="H18" s="42" t="n">
        <f aca="false">SUM(H6:H17)</f>
        <v>13805.4</v>
      </c>
      <c r="I18" s="43" t="n">
        <f aca="false">SUM(I6:I17)</f>
        <v>-1366.7346</v>
      </c>
      <c r="J18" s="44" t="n">
        <f aca="false">SUM(J6:J17)</f>
        <v>4088.6654</v>
      </c>
    </row>
    <row r="19" customFormat="false" ht="7.5" hidden="false" customHeight="true" outlineLevel="0" collapsed="false"/>
    <row r="20" customFormat="false" ht="27.75" hidden="false" customHeight="true" outlineLevel="0" collapsed="false">
      <c r="A20" s="14" t="s">
        <v>75</v>
      </c>
      <c r="B20" s="14"/>
      <c r="C20" s="14"/>
      <c r="D20" s="14"/>
      <c r="E20" s="14"/>
      <c r="F20" s="14"/>
      <c r="G20" s="14"/>
      <c r="H20" s="14"/>
      <c r="I20" s="14"/>
      <c r="J20" s="14"/>
    </row>
    <row r="21" customFormat="false" ht="19.5" hidden="false" customHeight="true" outlineLevel="0" collapsed="false">
      <c r="A21" s="4" t="s">
        <v>53</v>
      </c>
      <c r="B21" s="45"/>
      <c r="C21" s="45"/>
      <c r="D21" s="45"/>
      <c r="E21" s="45"/>
      <c r="F21" s="45"/>
      <c r="G21" s="45"/>
      <c r="H21" s="45"/>
      <c r="I21" s="4" t="s">
        <v>76</v>
      </c>
      <c r="J21" s="4" t="s">
        <v>77</v>
      </c>
    </row>
    <row r="22" customFormat="false" ht="19.5" hidden="false" customHeight="true" outlineLevel="0" collapsed="false">
      <c r="A22" s="46" t="s">
        <v>62</v>
      </c>
      <c r="B22" s="47"/>
      <c r="C22" s="47"/>
      <c r="D22" s="47"/>
      <c r="E22" s="47"/>
      <c r="F22" s="47"/>
      <c r="G22" s="47"/>
      <c r="H22" s="47"/>
      <c r="I22" s="48" t="n">
        <f aca="false">J6</f>
        <v>88.1398</v>
      </c>
      <c r="J22" s="49" t="n">
        <f aca="false">IFERROR(J6/B6,"-")</f>
        <v>0.440699</v>
      </c>
    </row>
    <row r="23" customFormat="false" ht="19.5" hidden="false" customHeight="true" outlineLevel="0" collapsed="false">
      <c r="A23" s="50" t="s">
        <v>63</v>
      </c>
      <c r="B23" s="51"/>
      <c r="C23" s="51"/>
      <c r="D23" s="51"/>
      <c r="E23" s="51"/>
      <c r="F23" s="51"/>
      <c r="G23" s="51"/>
      <c r="H23" s="51"/>
      <c r="I23" s="52" t="n">
        <f aca="false">I22+J7</f>
        <v>198.5398</v>
      </c>
      <c r="J23" s="53" t="n">
        <f aca="false">IFERROR(J7/B7,"-")</f>
        <v>0.4416</v>
      </c>
    </row>
    <row r="24" customFormat="false" ht="19.5" hidden="false" customHeight="true" outlineLevel="0" collapsed="false">
      <c r="A24" s="46" t="s">
        <v>64</v>
      </c>
      <c r="B24" s="47"/>
      <c r="C24" s="47"/>
      <c r="D24" s="47"/>
      <c r="E24" s="47"/>
      <c r="F24" s="47"/>
      <c r="G24" s="47"/>
      <c r="H24" s="47"/>
      <c r="I24" s="48" t="n">
        <f aca="false">I23+J8</f>
        <v>356.3379</v>
      </c>
      <c r="J24" s="49" t="n">
        <f aca="false">IFERROR(J8/B8,"-")</f>
        <v>0.525993666666667</v>
      </c>
    </row>
    <row r="25" customFormat="false" ht="19.5" hidden="false" customHeight="true" outlineLevel="0" collapsed="false">
      <c r="A25" s="50" t="s">
        <v>65</v>
      </c>
      <c r="B25" s="51"/>
      <c r="C25" s="51"/>
      <c r="D25" s="51"/>
      <c r="E25" s="51"/>
      <c r="F25" s="51"/>
      <c r="G25" s="51"/>
      <c r="H25" s="51"/>
      <c r="I25" s="52" t="n">
        <f aca="false">I24+J9</f>
        <v>548.7454</v>
      </c>
      <c r="J25" s="53" t="n">
        <f aca="false">IFERROR(J9/B9,"-")</f>
        <v>0.48101875</v>
      </c>
    </row>
    <row r="26" customFormat="false" ht="19.5" hidden="false" customHeight="true" outlineLevel="0" collapsed="false">
      <c r="A26" s="46" t="s">
        <v>66</v>
      </c>
      <c r="B26" s="47"/>
      <c r="C26" s="47"/>
      <c r="D26" s="47"/>
      <c r="E26" s="47"/>
      <c r="F26" s="47"/>
      <c r="G26" s="47"/>
      <c r="H26" s="47"/>
      <c r="I26" s="48" t="n">
        <f aca="false">I25+J10</f>
        <v>794.6833</v>
      </c>
      <c r="J26" s="49" t="n">
        <f aca="false">IFERROR(J10/B10,"-")</f>
        <v>0.4918758</v>
      </c>
    </row>
    <row r="27" customFormat="false" ht="19.5" hidden="false" customHeight="true" outlineLevel="0" collapsed="false">
      <c r="A27" s="50" t="s">
        <v>67</v>
      </c>
      <c r="B27" s="51"/>
      <c r="C27" s="51"/>
      <c r="D27" s="51"/>
      <c r="E27" s="51"/>
      <c r="F27" s="51"/>
      <c r="G27" s="51"/>
      <c r="H27" s="51"/>
      <c r="I27" s="52" t="n">
        <f aca="false">I26+J11</f>
        <v>1100.3685</v>
      </c>
      <c r="J27" s="53" t="n">
        <f aca="false">IFERROR(J11/B11,"-")</f>
        <v>0.509475333333333</v>
      </c>
    </row>
    <row r="28" customFormat="false" ht="19.5" hidden="false" customHeight="true" outlineLevel="0" collapsed="false">
      <c r="A28" s="46" t="s">
        <v>68</v>
      </c>
      <c r="B28" s="47"/>
      <c r="C28" s="47"/>
      <c r="D28" s="47"/>
      <c r="E28" s="47"/>
      <c r="F28" s="47"/>
      <c r="G28" s="47"/>
      <c r="H28" s="47"/>
      <c r="I28" s="48" t="n">
        <f aca="false">I27+J12</f>
        <v>1440.6631</v>
      </c>
      <c r="J28" s="49" t="n">
        <f aca="false">IFERROR(J12/B12,"-")</f>
        <v>0.486135142857143</v>
      </c>
    </row>
    <row r="29" customFormat="false" ht="19.5" hidden="false" customHeight="true" outlineLevel="0" collapsed="false">
      <c r="A29" s="50" t="s">
        <v>69</v>
      </c>
      <c r="B29" s="51"/>
      <c r="C29" s="51"/>
      <c r="D29" s="51"/>
      <c r="E29" s="51"/>
      <c r="F29" s="51"/>
      <c r="G29" s="51"/>
      <c r="H29" s="51"/>
      <c r="I29" s="52" t="n">
        <f aca="false">I28+J13</f>
        <v>1821.9642</v>
      </c>
      <c r="J29" s="53" t="n">
        <f aca="false">IFERROR(J13/B13,"-")</f>
        <v>0.476626375</v>
      </c>
    </row>
    <row r="30" customFormat="false" ht="19.5" hidden="false" customHeight="true" outlineLevel="0" collapsed="false">
      <c r="A30" s="46" t="s">
        <v>70</v>
      </c>
      <c r="B30" s="47"/>
      <c r="C30" s="47"/>
      <c r="D30" s="47"/>
      <c r="E30" s="47"/>
      <c r="F30" s="47"/>
      <c r="G30" s="47"/>
      <c r="H30" s="47"/>
      <c r="I30" s="48" t="n">
        <f aca="false">I29+J14</f>
        <v>2260.3096</v>
      </c>
      <c r="J30" s="49" t="n">
        <f aca="false">IFERROR(J14/B14,"-")</f>
        <v>0.487050444444445</v>
      </c>
    </row>
    <row r="31" customFormat="false" ht="19.5" hidden="false" customHeight="true" outlineLevel="0" collapsed="false">
      <c r="A31" s="50" t="s">
        <v>71</v>
      </c>
      <c r="B31" s="51"/>
      <c r="C31" s="51"/>
      <c r="D31" s="51"/>
      <c r="E31" s="51"/>
      <c r="F31" s="51"/>
      <c r="G31" s="51"/>
      <c r="H31" s="51"/>
      <c r="I31" s="52" t="n">
        <f aca="false">I30+J15</f>
        <v>2758.4023</v>
      </c>
      <c r="J31" s="53" t="n">
        <f aca="false">IFERROR(J15/B15,"-")</f>
        <v>0.4980927</v>
      </c>
    </row>
    <row r="32" customFormat="false" ht="19.5" hidden="false" customHeight="true" outlineLevel="0" collapsed="false">
      <c r="A32" s="46" t="s">
        <v>72</v>
      </c>
      <c r="B32" s="47"/>
      <c r="C32" s="47"/>
      <c r="D32" s="47"/>
      <c r="E32" s="47"/>
      <c r="F32" s="47"/>
      <c r="G32" s="47"/>
      <c r="H32" s="47"/>
      <c r="I32" s="48" t="n">
        <f aca="false">I31+J16</f>
        <v>3344.6348</v>
      </c>
      <c r="J32" s="49" t="n">
        <f aca="false">IFERROR(J16/B16,"-")</f>
        <v>0.488527083333333</v>
      </c>
    </row>
    <row r="33" customFormat="false" ht="19.5" hidden="false" customHeight="true" outlineLevel="0" collapsed="false">
      <c r="A33" s="50" t="s">
        <v>73</v>
      </c>
      <c r="B33" s="51"/>
      <c r="C33" s="51"/>
      <c r="D33" s="51"/>
      <c r="E33" s="51"/>
      <c r="F33" s="51"/>
      <c r="G33" s="51"/>
      <c r="H33" s="51"/>
      <c r="I33" s="52" t="n">
        <f aca="false">I32+J17</f>
        <v>4088.6654</v>
      </c>
      <c r="J33" s="53" t="n">
        <f aca="false">IFERROR(J17/B17,"-")</f>
        <v>0.4960204</v>
      </c>
    </row>
  </sheetData>
  <mergeCells count="4">
    <mergeCell ref="A1:J1"/>
    <mergeCell ref="A2:J2"/>
    <mergeCell ref="A4:J4"/>
    <mergeCell ref="A20:J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8"/>
    <col collapsed="false" customWidth="true" hidden="false" outlineLevel="0" max="5" min="5" style="0" width="22"/>
  </cols>
  <sheetData>
    <row r="1" customFormat="false" ht="33.75" hidden="false" customHeight="true" outlineLevel="0" collapsed="false">
      <c r="A1" s="1" t="s">
        <v>78</v>
      </c>
      <c r="B1" s="1"/>
      <c r="C1" s="1"/>
      <c r="D1" s="1"/>
      <c r="E1" s="1"/>
    </row>
    <row r="2" customFormat="false" ht="7.5" hidden="false" customHeight="true" outlineLevel="0" collapsed="false"/>
    <row r="3" customFormat="false" ht="27.75" hidden="false" customHeight="true" outlineLevel="0" collapsed="false">
      <c r="A3" s="54" t="s">
        <v>79</v>
      </c>
      <c r="B3" s="54"/>
      <c r="C3" s="54"/>
      <c r="D3" s="54"/>
      <c r="E3" s="54"/>
    </row>
    <row r="4" customFormat="false" ht="19.5" hidden="false" customHeight="true" outlineLevel="0" collapsed="false">
      <c r="A4" s="27" t="s">
        <v>80</v>
      </c>
      <c r="B4" s="4" t="s">
        <v>81</v>
      </c>
      <c r="C4" s="4" t="s">
        <v>82</v>
      </c>
      <c r="D4" s="4"/>
      <c r="E4" s="4"/>
    </row>
    <row r="5" customFormat="false" ht="19.5" hidden="false" customHeight="true" outlineLevel="0" collapsed="false">
      <c r="A5" s="55" t="s">
        <v>83</v>
      </c>
      <c r="B5" s="56" t="s">
        <v>84</v>
      </c>
      <c r="C5" s="57" t="s">
        <v>85</v>
      </c>
      <c r="D5" s="58"/>
      <c r="E5" s="58"/>
    </row>
    <row r="6" customFormat="false" ht="19.5" hidden="false" customHeight="true" outlineLevel="0" collapsed="false">
      <c r="A6" s="59" t="s">
        <v>86</v>
      </c>
      <c r="B6" s="60" t="s">
        <v>87</v>
      </c>
      <c r="C6" s="61" t="s">
        <v>88</v>
      </c>
      <c r="D6" s="62"/>
      <c r="E6" s="62"/>
    </row>
    <row r="7" customFormat="false" ht="19.5" hidden="false" customHeight="true" outlineLevel="0" collapsed="false">
      <c r="A7" s="63" t="s">
        <v>89</v>
      </c>
      <c r="B7" s="64" t="s">
        <v>90</v>
      </c>
      <c r="C7" s="65" t="s">
        <v>91</v>
      </c>
      <c r="D7" s="47"/>
      <c r="E7" s="47"/>
    </row>
    <row r="8" customFormat="false" ht="19.5" hidden="false" customHeight="true" outlineLevel="0" collapsed="false">
      <c r="A8" s="66" t="s">
        <v>92</v>
      </c>
      <c r="B8" s="67" t="s">
        <v>93</v>
      </c>
      <c r="C8" s="68" t="s">
        <v>94</v>
      </c>
      <c r="D8" s="69"/>
      <c r="E8" s="69"/>
    </row>
    <row r="10" customFormat="false" ht="7.5" hidden="false" customHeight="true" outlineLevel="0" collapsed="false"/>
    <row r="11" customFormat="false" ht="27.75" hidden="false" customHeight="true" outlineLevel="0" collapsed="false">
      <c r="A11" s="70" t="s">
        <v>95</v>
      </c>
      <c r="B11" s="70"/>
      <c r="C11" s="70"/>
      <c r="D11" s="70"/>
      <c r="E11" s="70"/>
    </row>
    <row r="12" customFormat="false" ht="21.75" hidden="false" customHeight="true" outlineLevel="0" collapsed="false">
      <c r="A12" s="4" t="s">
        <v>20</v>
      </c>
      <c r="B12" s="27" t="s">
        <v>96</v>
      </c>
      <c r="C12" s="27" t="s">
        <v>97</v>
      </c>
      <c r="D12" s="27" t="s">
        <v>98</v>
      </c>
      <c r="E12" s="27" t="s">
        <v>99</v>
      </c>
    </row>
    <row r="13" customFormat="false" ht="21.75" hidden="false" customHeight="true" outlineLevel="0" collapsed="false">
      <c r="A13" s="71" t="s">
        <v>100</v>
      </c>
      <c r="B13" s="72" t="s">
        <v>101</v>
      </c>
      <c r="C13" s="72" t="s">
        <v>101</v>
      </c>
      <c r="D13" s="72" t="s">
        <v>101</v>
      </c>
      <c r="E13" s="72" t="s">
        <v>101</v>
      </c>
    </row>
    <row r="14" customFormat="false" ht="21.75" hidden="false" customHeight="true" outlineLevel="0" collapsed="false">
      <c r="A14" s="73" t="s">
        <v>102</v>
      </c>
      <c r="B14" s="74" t="s">
        <v>103</v>
      </c>
      <c r="C14" s="74" t="s">
        <v>103</v>
      </c>
      <c r="D14" s="74" t="s">
        <v>103</v>
      </c>
      <c r="E14" s="74" t="s">
        <v>103</v>
      </c>
    </row>
    <row r="15" customFormat="false" ht="21.75" hidden="false" customHeight="true" outlineLevel="0" collapsed="false">
      <c r="A15" s="71" t="s">
        <v>104</v>
      </c>
      <c r="B15" s="72" t="s">
        <v>105</v>
      </c>
      <c r="C15" s="72" t="s">
        <v>106</v>
      </c>
      <c r="D15" s="72" t="s">
        <v>103</v>
      </c>
      <c r="E15" s="72" t="s">
        <v>107</v>
      </c>
    </row>
    <row r="16" customFormat="false" ht="21.75" hidden="false" customHeight="true" outlineLevel="0" collapsed="false">
      <c r="A16" s="73" t="s">
        <v>108</v>
      </c>
      <c r="B16" s="74" t="s">
        <v>103</v>
      </c>
      <c r="C16" s="74" t="s">
        <v>109</v>
      </c>
      <c r="D16" s="74" t="s">
        <v>110</v>
      </c>
      <c r="E16" s="74" t="s">
        <v>111</v>
      </c>
    </row>
    <row r="17" customFormat="false" ht="21.75" hidden="false" customHeight="true" outlineLevel="0" collapsed="false">
      <c r="A17" s="75" t="s">
        <v>112</v>
      </c>
      <c r="B17" s="76" t="s">
        <v>113</v>
      </c>
      <c r="C17" s="77" t="s">
        <v>114</v>
      </c>
      <c r="D17" s="78" t="s">
        <v>115</v>
      </c>
      <c r="E17" s="79" t="s">
        <v>116</v>
      </c>
    </row>
    <row r="18" customFormat="false" ht="21.75" hidden="false" customHeight="true" outlineLevel="0" collapsed="false">
      <c r="A18" s="80" t="s">
        <v>117</v>
      </c>
      <c r="B18" s="76" t="s">
        <v>118</v>
      </c>
      <c r="C18" s="77" t="s">
        <v>119</v>
      </c>
      <c r="D18" s="78" t="s">
        <v>120</v>
      </c>
      <c r="E18" s="79" t="s">
        <v>121</v>
      </c>
    </row>
    <row r="19" customFormat="false" ht="21.75" hidden="false" customHeight="true" outlineLevel="0" collapsed="false">
      <c r="A19" s="75" t="s">
        <v>122</v>
      </c>
      <c r="B19" s="76" t="s">
        <v>123</v>
      </c>
      <c r="C19" s="77" t="s">
        <v>124</v>
      </c>
      <c r="D19" s="78" t="s">
        <v>125</v>
      </c>
      <c r="E19" s="79" t="s">
        <v>126</v>
      </c>
    </row>
    <row r="21" customFormat="false" ht="7.5" hidden="false" customHeight="true" outlineLevel="0" collapsed="false"/>
    <row r="22" customFormat="false" ht="27.75" hidden="false" customHeight="true" outlineLevel="0" collapsed="false">
      <c r="A22" s="81" t="s">
        <v>127</v>
      </c>
      <c r="B22" s="81"/>
      <c r="C22" s="81"/>
      <c r="D22" s="81"/>
      <c r="E22" s="81"/>
    </row>
    <row r="23" customFormat="false" ht="19.5" hidden="false" customHeight="true" outlineLevel="0" collapsed="false">
      <c r="A23" s="4" t="s">
        <v>128</v>
      </c>
      <c r="B23" s="4" t="s">
        <v>129</v>
      </c>
      <c r="C23" s="27" t="s">
        <v>130</v>
      </c>
      <c r="D23" s="4"/>
      <c r="E23" s="4"/>
    </row>
    <row r="24" customFormat="false" ht="21.75" hidden="false" customHeight="true" outlineLevel="0" collapsed="false">
      <c r="A24" s="82" t="s">
        <v>131</v>
      </c>
      <c r="B24" s="83" t="s">
        <v>132</v>
      </c>
      <c r="C24" s="84" t="s">
        <v>133</v>
      </c>
      <c r="D24" s="85"/>
      <c r="E24" s="85"/>
    </row>
    <row r="25" customFormat="false" ht="21.75" hidden="false" customHeight="true" outlineLevel="0" collapsed="false">
      <c r="A25" s="86" t="s">
        <v>134</v>
      </c>
      <c r="B25" s="87" t="s">
        <v>135</v>
      </c>
      <c r="C25" s="88" t="s">
        <v>136</v>
      </c>
      <c r="D25" s="89"/>
      <c r="E25" s="89"/>
    </row>
    <row r="26" customFormat="false" ht="21.75" hidden="false" customHeight="true" outlineLevel="0" collapsed="false">
      <c r="A26" s="82" t="s">
        <v>137</v>
      </c>
      <c r="B26" s="83" t="s">
        <v>138</v>
      </c>
      <c r="C26" s="84" t="s">
        <v>139</v>
      </c>
      <c r="D26" s="85"/>
      <c r="E26" s="85"/>
    </row>
    <row r="27" customFormat="false" ht="21.75" hidden="false" customHeight="true" outlineLevel="0" collapsed="false">
      <c r="A27" s="90" t="s">
        <v>140</v>
      </c>
      <c r="B27" s="91" t="s">
        <v>141</v>
      </c>
      <c r="C27" s="88" t="s">
        <v>142</v>
      </c>
      <c r="D27" s="89"/>
      <c r="E27" s="89"/>
    </row>
    <row r="28" customFormat="false" ht="21.75" hidden="false" customHeight="true" outlineLevel="0" collapsed="false">
      <c r="A28" s="82" t="s">
        <v>143</v>
      </c>
      <c r="B28" s="83" t="s">
        <v>144</v>
      </c>
      <c r="C28" s="84" t="s">
        <v>145</v>
      </c>
      <c r="D28" s="85"/>
      <c r="E28" s="85"/>
    </row>
  </sheetData>
  <mergeCells count="4">
    <mergeCell ref="A1:E1"/>
    <mergeCell ref="A3:E3"/>
    <mergeCell ref="A11:E11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20"/>
  </cols>
  <sheetData>
    <row r="1" customFormat="false" ht="33.75" hidden="false" customHeight="true" outlineLevel="0" collapsed="false">
      <c r="A1" s="1" t="s">
        <v>146</v>
      </c>
      <c r="B1" s="1"/>
      <c r="C1" s="1"/>
      <c r="D1" s="1"/>
    </row>
    <row r="2" customFormat="false" ht="7.5" hidden="false" customHeight="true" outlineLevel="0" collapsed="false"/>
    <row r="3" customFormat="false" ht="27.75" hidden="false" customHeight="true" outlineLevel="0" collapsed="false">
      <c r="A3" s="3" t="s">
        <v>147</v>
      </c>
      <c r="B3" s="3"/>
      <c r="C3" s="3"/>
      <c r="D3" s="3"/>
    </row>
    <row r="4" customFormat="false" ht="19.5" hidden="false" customHeight="true" outlineLevel="0" collapsed="false">
      <c r="A4" s="4" t="s">
        <v>20</v>
      </c>
      <c r="B4" s="4" t="s">
        <v>148</v>
      </c>
      <c r="C4" s="4" t="s">
        <v>6</v>
      </c>
      <c r="D4" s="4"/>
    </row>
    <row r="5" customFormat="false" ht="19.5" hidden="false" customHeight="true" outlineLevel="0" collapsed="false">
      <c r="A5" s="71" t="s">
        <v>149</v>
      </c>
      <c r="B5" s="92" t="n">
        <v>0</v>
      </c>
      <c r="C5" s="93" t="s">
        <v>150</v>
      </c>
      <c r="D5" s="94"/>
    </row>
    <row r="6" customFormat="false" ht="19.5" hidden="false" customHeight="true" outlineLevel="0" collapsed="false">
      <c r="A6" s="73" t="s">
        <v>151</v>
      </c>
      <c r="B6" s="92" t="n">
        <v>29</v>
      </c>
      <c r="C6" s="95" t="s">
        <v>152</v>
      </c>
      <c r="D6" s="96"/>
    </row>
    <row r="7" customFormat="false" ht="19.5" hidden="false" customHeight="true" outlineLevel="0" collapsed="false">
      <c r="A7" s="71" t="s">
        <v>153</v>
      </c>
      <c r="B7" s="92" t="n">
        <v>15</v>
      </c>
      <c r="C7" s="93" t="s">
        <v>154</v>
      </c>
      <c r="D7" s="94"/>
    </row>
    <row r="8" customFormat="false" ht="19.5" hidden="false" customHeight="true" outlineLevel="0" collapsed="false">
      <c r="A8" s="73" t="s">
        <v>155</v>
      </c>
      <c r="B8" s="92" t="n">
        <v>10</v>
      </c>
      <c r="C8" s="95" t="s">
        <v>156</v>
      </c>
      <c r="D8" s="96"/>
    </row>
    <row r="9" customFormat="false" ht="19.5" hidden="false" customHeight="true" outlineLevel="0" collapsed="false">
      <c r="A9" s="97" t="s">
        <v>157</v>
      </c>
      <c r="B9" s="98" t="n">
        <f aca="false">B5+B6+B7+B8</f>
        <v>54</v>
      </c>
      <c r="C9" s="99"/>
      <c r="D9" s="69"/>
    </row>
    <row r="11" customFormat="false" ht="7.5" hidden="false" customHeight="true" outlineLevel="0" collapsed="false"/>
    <row r="12" customFormat="false" ht="27.75" hidden="false" customHeight="true" outlineLevel="0" collapsed="false">
      <c r="A12" s="9" t="s">
        <v>158</v>
      </c>
      <c r="B12" s="9"/>
      <c r="C12" s="9"/>
      <c r="D12" s="9"/>
    </row>
    <row r="13" customFormat="false" ht="19.5" hidden="false" customHeight="true" outlineLevel="0" collapsed="false">
      <c r="A13" s="4" t="s">
        <v>20</v>
      </c>
      <c r="B13" s="4" t="s">
        <v>21</v>
      </c>
      <c r="C13" s="4" t="s">
        <v>23</v>
      </c>
      <c r="D13" s="4"/>
    </row>
    <row r="14" customFormat="false" ht="21.75" hidden="false" customHeight="true" outlineLevel="0" collapsed="false">
      <c r="A14" s="100" t="s">
        <v>159</v>
      </c>
      <c r="B14" s="101" t="n">
        <f aca="false">'① 핵심 가정'!B32</f>
        <v>12.723021</v>
      </c>
      <c r="C14" s="102" t="s">
        <v>160</v>
      </c>
      <c r="D14" s="47"/>
    </row>
    <row r="15" customFormat="false" ht="21.75" hidden="false" customHeight="true" outlineLevel="0" collapsed="false">
      <c r="A15" s="103" t="s">
        <v>161</v>
      </c>
      <c r="B15" s="104" t="n">
        <f aca="false">B9</f>
        <v>54</v>
      </c>
      <c r="C15" s="105" t="s">
        <v>162</v>
      </c>
      <c r="D15" s="51"/>
    </row>
    <row r="16" customFormat="false" ht="21.75" hidden="false" customHeight="true" outlineLevel="0" collapsed="false">
      <c r="A16" s="106" t="s">
        <v>163</v>
      </c>
      <c r="B16" s="107" t="n">
        <f aca="false">CEILING(B14/B15,1)</f>
        <v>1</v>
      </c>
      <c r="C16" s="108" t="s">
        <v>164</v>
      </c>
      <c r="D16" s="109"/>
    </row>
    <row r="17" customFormat="false" ht="21.75" hidden="false" customHeight="true" outlineLevel="0" collapsed="false">
      <c r="A17" s="103" t="s">
        <v>165</v>
      </c>
      <c r="B17" s="110" t="n">
        <f aca="false">CEILING(B16/'① 핵심 가정'!B14,1)</f>
        <v>29</v>
      </c>
      <c r="C17" s="105" t="s">
        <v>166</v>
      </c>
      <c r="D17" s="51"/>
    </row>
    <row r="18" customFormat="false" ht="21.75" hidden="false" customHeight="true" outlineLevel="0" collapsed="false">
      <c r="A18" s="100" t="s">
        <v>167</v>
      </c>
      <c r="B18" s="111" t="n">
        <f aca="false">CEILING(B17*'① 핵심 가정'!B19,1)</f>
        <v>9</v>
      </c>
      <c r="C18" s="112" t="s">
        <v>168</v>
      </c>
      <c r="D18" s="47"/>
    </row>
    <row r="20" customFormat="false" ht="7.5" hidden="false" customHeight="true" outlineLevel="0" collapsed="false"/>
    <row r="21" customFormat="false" ht="27.75" hidden="false" customHeight="true" outlineLevel="0" collapsed="false">
      <c r="A21" s="14" t="s">
        <v>169</v>
      </c>
      <c r="B21" s="14"/>
      <c r="C21" s="14"/>
      <c r="D21" s="14"/>
    </row>
    <row r="22" customFormat="false" ht="19.5" hidden="false" customHeight="true" outlineLevel="0" collapsed="false">
      <c r="A22" s="4" t="s">
        <v>170</v>
      </c>
      <c r="B22" s="4" t="s">
        <v>171</v>
      </c>
      <c r="C22" s="4" t="s">
        <v>172</v>
      </c>
      <c r="D22" s="4"/>
    </row>
    <row r="23" customFormat="false" ht="21.75" hidden="false" customHeight="true" outlineLevel="0" collapsed="false">
      <c r="A23" s="113" t="n">
        <v>500</v>
      </c>
      <c r="B23" s="114" t="n">
        <f aca="false">CEILING((A23+B9)/'① 핵심 가정'!B32,1)</f>
        <v>44</v>
      </c>
      <c r="C23" s="115" t="n">
        <f aca="false">CEILING(B23*'① 핵심 가정'!B19,1)</f>
        <v>14</v>
      </c>
      <c r="D23" s="116"/>
    </row>
    <row r="24" customFormat="false" ht="21.75" hidden="false" customHeight="true" outlineLevel="0" collapsed="false">
      <c r="A24" s="117" t="n">
        <v>1000</v>
      </c>
      <c r="B24" s="118" t="n">
        <f aca="false">CEILING((A24+B9)/'① 핵심 가정'!B32,1)</f>
        <v>83</v>
      </c>
      <c r="C24" s="117" t="n">
        <f aca="false">CEILING(B24*'① 핵심 가정'!B19,1)</f>
        <v>25</v>
      </c>
      <c r="D24" s="119" t="s">
        <v>173</v>
      </c>
    </row>
    <row r="25" customFormat="false" ht="21.75" hidden="false" customHeight="true" outlineLevel="0" collapsed="false">
      <c r="A25" s="113" t="n">
        <v>2000</v>
      </c>
      <c r="B25" s="114" t="n">
        <f aca="false">CEILING((A25+B9)/'① 핵심 가정'!B32,1)</f>
        <v>162</v>
      </c>
      <c r="C25" s="115" t="n">
        <f aca="false">CEILING(B25*'① 핵심 가정'!B19,1)</f>
        <v>49</v>
      </c>
      <c r="D25" s="116"/>
    </row>
    <row r="26" customFormat="false" ht="21.75" hidden="false" customHeight="true" outlineLevel="0" collapsed="false">
      <c r="A26" s="120" t="n">
        <v>3000</v>
      </c>
      <c r="B26" s="121" t="n">
        <f aca="false">CEILING((A26+B9)/'① 핵심 가정'!B32,1)</f>
        <v>241</v>
      </c>
      <c r="C26" s="122" t="n">
        <f aca="false">CEILING(B26*'① 핵심 가정'!B19,1)</f>
        <v>73</v>
      </c>
      <c r="D26" s="123"/>
    </row>
    <row r="27" customFormat="false" ht="21.75" hidden="false" customHeight="true" outlineLevel="0" collapsed="false">
      <c r="A27" s="113" t="n">
        <v>5000</v>
      </c>
      <c r="B27" s="114" t="n">
        <f aca="false">CEILING((A27+B9)/'① 핵심 가정'!B32,1)</f>
        <v>398</v>
      </c>
      <c r="C27" s="115" t="n">
        <f aca="false">CEILING(B27*'① 핵심 가정'!B19,1)</f>
        <v>120</v>
      </c>
      <c r="D27" s="116"/>
    </row>
  </sheetData>
  <mergeCells count="4">
    <mergeCell ref="A1:D1"/>
    <mergeCell ref="A3:D3"/>
    <mergeCell ref="A12:D12"/>
    <mergeCell ref="A21:D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2026-02-22T11:43:36Z</dcterms:created>
  <dc:creator>openpyxl</dc:creator>
  <dc:description/>
  <dc:language>en-US</dc:language>
  <cp:lastModifiedBy/>
  <dcterms:modified xsi:type="dcterms:W3CDTF">2026-02-22T11:43:36Z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