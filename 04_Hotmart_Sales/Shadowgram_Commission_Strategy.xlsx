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커미션 구조" sheetId="1" state="visible" r:id="rId3"/>
    <sheet name="② 파트너 수익 시뮬레이션" sheetId="2" state="visible" r:id="rId4"/>
    <sheet name="③ 민철 씨 순수익" sheetId="3" state="visible" r:id="rId5"/>
    <sheet name="④ 최종 권장 구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<sst xmlns="http://schemas.openxmlformats.org/spreadsheetml/2006/main" count="154" uniqueCount="146">
  <si>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제휴 파트너 커미션 구조 </t>
    </r>
    <r>
      <rPr>
        <b val="true"/>
        <sz val="14"/>
        <color rgb="FFFFFFFF"/>
        <rFont val="Arial"/>
        <family val="0"/>
        <charset val="1"/>
      </rPr>
      <t xml:space="preserve">&amp; </t>
    </r>
    <r>
      <rPr>
        <b val="true"/>
        <sz val="14"/>
        <color rgb="FFFFFFFF"/>
        <rFont val="Noto Sans CJK KR"/>
        <family val="2"/>
      </rPr>
      <t xml:space="preserve">수익 분배</t>
    </r>
  </si>
  <si>
    <r>
      <rPr>
        <sz val="9"/>
        <color rgb="FF555555"/>
        <rFont val="Noto Sans CJK KR"/>
        <family val="2"/>
      </rPr>
      <t xml:space="preserve">옵션 </t>
    </r>
    <r>
      <rPr>
        <sz val="9"/>
        <color rgb="FF555555"/>
        <rFont val="Arial"/>
        <family val="0"/>
        <charset val="1"/>
      </rPr>
      <t xml:space="preserve">A: </t>
    </r>
    <r>
      <rPr>
        <sz val="9"/>
        <color rgb="FF555555"/>
        <rFont val="Noto Sans CJK KR"/>
        <family val="2"/>
      </rPr>
      <t xml:space="preserve">가격 인상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KR"/>
        <family val="2"/>
      </rPr>
      <t xml:space="preserve">공격적 커미션 </t>
    </r>
    <r>
      <rPr>
        <sz val="9"/>
        <color rgb="FF555555"/>
        <rFont val="Arial"/>
        <family val="0"/>
        <charset val="1"/>
      </rPr>
      <t xml:space="preserve">| </t>
    </r>
    <r>
      <rPr>
        <sz val="9"/>
        <color rgb="FF555555"/>
        <rFont val="Noto Sans CJK KR"/>
        <family val="2"/>
      </rPr>
      <t xml:space="preserve">파란 셀 </t>
    </r>
    <r>
      <rPr>
        <sz val="9"/>
        <color rgb="FF555555"/>
        <rFont val="Arial"/>
        <family val="0"/>
        <charset val="1"/>
      </rPr>
      <t xml:space="preserve">= </t>
    </r>
    <r>
      <rPr>
        <sz val="9"/>
        <color rgb="FF555555"/>
        <rFont val="Noto Sans CJK KR"/>
        <family val="2"/>
      </rPr>
      <t xml:space="preserve">수정 가능 입력값</t>
    </r>
  </si>
  <si>
    <r>
      <rPr>
        <b val="true"/>
        <sz val="12"/>
        <color rgb="FFFFFFFF"/>
        <rFont val="Noto Sans CJK KR"/>
        <family val="2"/>
      </rPr>
      <t xml:space="preserve">📦 번들 판매가 </t>
    </r>
    <r>
      <rPr>
        <b val="true"/>
        <sz val="12"/>
        <color rgb="FFFFFFFF"/>
        <rFont val="Arial"/>
        <family val="0"/>
        <charset val="1"/>
      </rPr>
      <t xml:space="preserve">&amp; </t>
    </r>
    <r>
      <rPr>
        <b val="true"/>
        <sz val="12"/>
        <color rgb="FFFFFFFF"/>
        <rFont val="Noto Sans CJK KR"/>
        <family val="2"/>
      </rPr>
      <t xml:space="preserve">커미션율 설정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KR"/>
        <family val="2"/>
      </rPr>
      <t xml:space="preserve">파란 셀 직접 수정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</si>
  <si>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번들 상품</t>
  </si>
  <si>
    <r>
      <rPr>
        <b val="true"/>
        <sz val="10"/>
        <color rgb="FFFFFFFF"/>
        <rFont val="Noto Sans CJK KR"/>
        <family val="2"/>
      </rPr>
      <t xml:space="preserve">판매가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</si>
  <si>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KR"/>
        <family val="2"/>
      </rPr>
      <t xml:space="preserve">커미션율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</si>
  <si>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핫마트
수수료율</t>
  </si>
  <si>
    <r>
      <rPr>
        <b val="true"/>
        <sz val="10"/>
        <color rgb="FFFFFFFF"/>
        <rFont val="Noto Sans CJK KR"/>
        <family val="2"/>
      </rPr>
      <t xml:space="preserve">파트너 수익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</si>
  <si>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KR"/>
        <family val="2"/>
      </rPr>
      <t xml:space="preserve">핫마트 수수료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</si>
  <si>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KR"/>
        <family val="2"/>
      </rPr>
      <t xml:space="preserve">민철 씨
순수익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</si>
  <si>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전략 포지션</t>
  </si>
  <si>
    <r>
      <rPr>
        <b val="true"/>
        <sz val="10"/>
        <color rgb="FF000000"/>
        <rFont val="Arial"/>
        <family val="0"/>
        <charset val="1"/>
      </rPr>
      <t xml:space="preserve">T1 + App A  (</t>
    </r>
    <r>
      <rPr>
        <b val="true"/>
        <sz val="10"/>
        <color rgb="FF000000"/>
        <rFont val="Noto Sans CJK KR"/>
        <family val="2"/>
      </rPr>
      <t xml:space="preserve">스타터 번들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</si>
  <si>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진입 번들 — 파트너 수익 최대화</t>
  </si>
  <si>
    <r>
      <rPr>
        <sz val="10"/>
        <color rgb="FF000000"/>
        <rFont val="Arial"/>
        <family val="0"/>
        <charset val="1"/>
      </rPr>
      <t xml:space="preserve">T2 + App B  (</t>
    </r>
    <r>
      <rPr>
        <sz val="10"/>
        <color rgb="FF000000"/>
        <rFont val="Noto Sans CJK KR"/>
        <family val="2"/>
      </rPr>
      <t xml:space="preserve">심층 번들</t>
    </r>
    <r>
      <rPr>
        <sz val="10"/>
        <color rgb="FF000000"/>
        <rFont val="Arial"/>
        <family val="0"/>
        <charset val="1"/>
      </rPr>
      <t xml:space="preserve">)</t>
    </r>
  </si>
  <si>
    <t xml:space="preserve">중간 업셀 — 균형 수익</t>
  </si>
  <si>
    <r>
      <rPr>
        <sz val="10"/>
        <color rgb="FF000000"/>
        <rFont val="Arial"/>
        <family val="0"/>
        <charset val="1"/>
      </rPr>
      <t xml:space="preserve">T3 + App C  (</t>
    </r>
    <r>
      <rPr>
        <sz val="10"/>
        <color rgb="FF000000"/>
        <rFont val="Noto Sans CJK KR"/>
        <family val="2"/>
      </rPr>
      <t xml:space="preserve">마스터 번들</t>
    </r>
    <r>
      <rPr>
        <sz val="10"/>
        <color rgb="FF000000"/>
        <rFont val="Arial"/>
        <family val="0"/>
        <charset val="1"/>
      </rPr>
      <t xml:space="preserve">)</t>
    </r>
  </si>
  <si>
    <t xml:space="preserve">프리미엄 — 민철 씨 수익 확보</t>
  </si>
  <si>
    <r>
      <rPr>
        <sz val="10"/>
        <color rgb="FF000000"/>
        <rFont val="Arial"/>
        <family val="0"/>
        <charset val="1"/>
      </rPr>
      <t xml:space="preserve">Ultimate Pack  (6</t>
    </r>
    <r>
      <rPr>
        <sz val="10"/>
        <color rgb="FF000000"/>
        <rFont val="Noto Sans CJK KR"/>
        <family val="2"/>
      </rPr>
      <t xml:space="preserve">종 완전판</t>
    </r>
    <r>
      <rPr>
        <sz val="10"/>
        <color rgb="FF000000"/>
        <rFont val="Arial"/>
        <family val="0"/>
        <charset val="1"/>
      </rPr>
      <t xml:space="preserve">)</t>
    </r>
  </si>
  <si>
    <t xml:space="preserve">앵커 상품 — 최고가</t>
  </si>
  <si>
    <r>
      <rPr>
        <i val="true"/>
        <sz val="9"/>
        <color rgb="FF888888"/>
        <rFont val="Arial"/>
        <family val="0"/>
        <charset val="1"/>
      </rPr>
      <t xml:space="preserve">* </t>
    </r>
    <r>
      <rPr>
        <i val="true"/>
        <sz val="9"/>
        <color rgb="FF888888"/>
        <rFont val="Noto Sans CJK KR"/>
        <family val="2"/>
      </rPr>
      <t xml:space="preserve">핫마트 수수료 </t>
    </r>
    <r>
      <rPr>
        <i val="true"/>
        <sz val="9"/>
        <color rgb="FF888888"/>
        <rFont val="Arial"/>
        <family val="0"/>
        <charset val="1"/>
      </rPr>
      <t xml:space="preserve">9.9%</t>
    </r>
    <r>
      <rPr>
        <i val="true"/>
        <sz val="9"/>
        <color rgb="FF888888"/>
        <rFont val="Noto Sans CJK KR"/>
        <family val="2"/>
      </rPr>
      <t xml:space="preserve">는 판매가 기준 자동 차감  </t>
    </r>
    <r>
      <rPr>
        <i val="true"/>
        <sz val="9"/>
        <color rgb="FF888888"/>
        <rFont val="Arial"/>
        <family val="0"/>
        <charset val="1"/>
      </rPr>
      <t xml:space="preserve">|  </t>
    </r>
    <r>
      <rPr>
        <i val="true"/>
        <sz val="9"/>
        <color rgb="FF888888"/>
        <rFont val="Noto Sans CJK KR"/>
        <family val="2"/>
      </rPr>
      <t xml:space="preserve">커미션율은 핫마트에서 직접 설정 </t>
    </r>
    <r>
      <rPr>
        <i val="true"/>
        <sz val="9"/>
        <color rgb="FF888888"/>
        <rFont val="Arial"/>
        <family val="0"/>
        <charset val="1"/>
      </rPr>
      <t xml:space="preserve">(</t>
    </r>
    <r>
      <rPr>
        <i val="true"/>
        <sz val="9"/>
        <color rgb="FF888888"/>
        <rFont val="Noto Sans CJK KR"/>
        <family val="2"/>
      </rPr>
      <t xml:space="preserve">상품 등록 시</t>
    </r>
    <r>
      <rPr>
        <i val="true"/>
        <sz val="9"/>
        <color rgb="FF888888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</si>
  <si>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🔍 민철 씨 순수익 충분성 분석 — </t>
    </r>
    <r>
      <rPr>
        <b val="true"/>
        <sz val="11"/>
        <color rgb="FFFFFFFF"/>
        <rFont val="Arial"/>
        <family val="0"/>
        <charset val="1"/>
      </rPr>
      <t xml:space="preserve">T1 </t>
    </r>
    <r>
      <rPr>
        <b val="true"/>
        <sz val="11"/>
        <color rgb="FFFFFFFF"/>
        <rFont val="Noto Sans CJK KR"/>
        <family val="2"/>
      </rPr>
      <t xml:space="preserve">커미션 </t>
    </r>
    <r>
      <rPr>
        <b val="true"/>
        <sz val="11"/>
        <color rgb="FFFFFFFF"/>
        <rFont val="Arial"/>
        <family val="0"/>
        <charset val="1"/>
      </rPr>
      <t xml:space="preserve">70% </t>
    </r>
    <r>
      <rPr>
        <b val="true"/>
        <sz val="11"/>
        <color rgb="FFFFFFFF"/>
        <rFont val="Noto Sans CJK KR"/>
        <family val="2"/>
      </rPr>
      <t xml:space="preserve">문제</t>
    </r>
  </si>
  <si>
    <t xml:space="preserve">항목</t>
  </si>
  <si>
    <r>
      <rPr>
        <b val="true"/>
        <sz val="10"/>
        <color rgb="FFFFFFFF"/>
        <rFont val="Noto Sans CJK KR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KR"/>
        <family val="2"/>
      </rPr>
      <t xml:space="preserve">비율</t>
    </r>
  </si>
  <si>
    <t xml:space="preserve">판단</t>
  </si>
  <si>
    <r>
      <rPr>
        <sz val="10"/>
        <color rgb="FF1A1A2E"/>
        <rFont val="Arial"/>
        <family val="0"/>
        <charset val="1"/>
      </rPr>
      <t xml:space="preserve">T1 </t>
    </r>
    <r>
      <rPr>
        <sz val="10"/>
        <color rgb="FF1A1A2E"/>
        <rFont val="Noto Sans CJK KR"/>
        <family val="2"/>
      </rPr>
      <t xml:space="preserve">판매 시 민철 씨 순수익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</si>
  <si>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민철 씨 수익 비율</t>
    </r>
  </si>
  <si>
    <r>
      <rPr>
        <sz val="10"/>
        <color rgb="FF000000"/>
        <rFont val="Arial"/>
        <family val="0"/>
        <charset val="1"/>
      </rPr>
      <t xml:space="preserve">T2 </t>
    </r>
    <r>
      <rPr>
        <sz val="10"/>
        <color rgb="FF000000"/>
        <rFont val="Noto Sans CJK KR"/>
        <family val="2"/>
      </rPr>
      <t xml:space="preserve">민철 씨 수익 비율</t>
    </r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</si>
  <si>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민철 씨 수익 비율</t>
    </r>
  </si>
  <si>
    <r>
      <rPr>
        <b val="true"/>
        <sz val="12"/>
        <color rgb="FFFFFFFF"/>
        <rFont val="Arial"/>
        <family val="0"/>
        <charset val="1"/>
      </rPr>
      <t xml:space="preserve">💡 T1 </t>
    </r>
    <r>
      <rPr>
        <b val="true"/>
        <sz val="12"/>
        <color rgb="FFFFFFFF"/>
        <rFont val="Noto Sans CJK KR"/>
        <family val="2"/>
      </rPr>
      <t xml:space="preserve">커미션 대안 시나리오 비교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KR"/>
        <family val="2"/>
      </rPr>
      <t xml:space="preserve">파트너 </t>
    </r>
    <r>
      <rPr>
        <b val="true"/>
        <sz val="12"/>
        <color rgb="FFFFFFFF"/>
        <rFont val="Arial"/>
        <family val="0"/>
        <charset val="1"/>
      </rPr>
      <t xml:space="preserve">vs </t>
    </r>
    <r>
      <rPr>
        <b val="true"/>
        <sz val="12"/>
        <color rgb="FFFFFFFF"/>
        <rFont val="Noto Sans CJK KR"/>
        <family val="2"/>
      </rPr>
      <t xml:space="preserve">민철 씨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</si>
  <si>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T1 </t>
    </r>
    <r>
      <rPr>
        <b val="true"/>
        <sz val="10"/>
        <color rgb="FFFFFFFF"/>
        <rFont val="Noto Sans CJK KR"/>
        <family val="2"/>
      </rPr>
      <t xml:space="preserve">커미션율</t>
    </r>
  </si>
  <si>
    <t xml:space="preserve">판매가</t>
  </si>
  <si>
    <t xml:space="preserve">파트너 수익</t>
  </si>
  <si>
    <t xml:space="preserve">민철 씨 수익</t>
  </si>
  <si>
    <t xml:space="preserve">민철 씨 비율</t>
  </si>
  <si>
    <t xml:space="preserve">파트너 매력도</t>
  </si>
  <si>
    <t xml:space="preserve">추천</t>
  </si>
  <si>
    <t xml:space="preserve">낮음 — 파트너 동기↓</t>
  </si>
  <si>
    <t xml:space="preserve">보통</t>
  </si>
  <si>
    <t xml:space="preserve">높음 ★★★</t>
  </si>
  <si>
    <t xml:space="preserve">⭐ 추천</t>
  </si>
  <si>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파트너 월 수익 시뮬레이션</t>
    </r>
  </si>
  <si>
    <r>
      <rPr>
        <i val="true"/>
        <sz val="9"/>
        <color rgb="FF555555"/>
        <rFont val="Arial"/>
        <family val="0"/>
        <charset val="1"/>
      </rPr>
      <t xml:space="preserve">"</t>
    </r>
    <r>
      <rPr>
        <i val="true"/>
        <sz val="9"/>
        <color rgb="FF555555"/>
        <rFont val="Noto Sans CJK KR"/>
        <family val="2"/>
      </rPr>
      <t xml:space="preserve">파트너가 이 정도 뿌리면 이 정도 번다</t>
    </r>
    <r>
      <rPr>
        <i val="true"/>
        <sz val="9"/>
        <color rgb="FF555555"/>
        <rFont val="Arial"/>
        <family val="0"/>
        <charset val="1"/>
      </rPr>
      <t xml:space="preserve">" — </t>
    </r>
    <r>
      <rPr>
        <i val="true"/>
        <sz val="9"/>
        <color rgb="FF555555"/>
        <rFont val="Noto Sans CJK KR"/>
        <family val="2"/>
      </rPr>
      <t xml:space="preserve">파트너 모집 제안서용 시뮬레이션</t>
    </r>
  </si>
  <si>
    <r>
      <rPr>
        <b val="true"/>
        <sz val="12"/>
        <color rgb="FFFFFFFF"/>
        <rFont val="Noto Sans CJK KR"/>
        <family val="2"/>
      </rPr>
      <t xml:space="preserve">📌 가정</t>
    </r>
    <r>
      <rPr>
        <b val="true"/>
        <sz val="12"/>
        <color rgb="FFFFFFFF"/>
        <rFont val="Arial"/>
        <family val="0"/>
        <charset val="1"/>
      </rPr>
      <t xml:space="preserve">: </t>
    </r>
    <r>
      <rPr>
        <b val="true"/>
        <sz val="12"/>
        <color rgb="FFFFFFFF"/>
        <rFont val="Noto Sans CJK KR"/>
        <family val="2"/>
      </rPr>
      <t xml:space="preserve">커미션율 </t>
    </r>
    <r>
      <rPr>
        <b val="true"/>
        <sz val="12"/>
        <color rgb="FFFFFFFF"/>
        <rFont val="Arial"/>
        <family val="0"/>
        <charset val="1"/>
      </rPr>
      <t xml:space="preserve">&amp; </t>
    </r>
    <r>
      <rPr>
        <b val="true"/>
        <sz val="12"/>
        <color rgb="FFFFFFFF"/>
        <rFont val="Noto Sans CJK KR"/>
        <family val="2"/>
      </rPr>
      <t xml:space="preserve">가격은 </t>
    </r>
    <r>
      <rPr>
        <b val="true"/>
        <sz val="12"/>
        <color rgb="FFFFFFFF"/>
        <rFont val="Arial"/>
        <family val="0"/>
        <charset val="1"/>
      </rPr>
      <t xml:space="preserve">[① </t>
    </r>
    <r>
      <rPr>
        <b val="true"/>
        <sz val="12"/>
        <color rgb="FFFFFFFF"/>
        <rFont val="Noto Sans CJK KR"/>
        <family val="2"/>
      </rPr>
      <t xml:space="preserve">커미션 구조</t>
    </r>
    <r>
      <rPr>
        <b val="true"/>
        <sz val="12"/>
        <color rgb="FFFFFFFF"/>
        <rFont val="Arial"/>
        <family val="0"/>
        <charset val="1"/>
      </rPr>
      <t xml:space="preserve">] </t>
    </r>
    <r>
      <rPr>
        <b val="true"/>
        <sz val="12"/>
        <color rgb="FFFFFFFF"/>
        <rFont val="Noto Sans CJK KR"/>
        <family val="2"/>
      </rPr>
      <t xml:space="preserve">시트 기준 자동 참조</t>
    </r>
  </si>
  <si>
    <t xml:space="preserve">👥 파트너 활동 규모별 월 예상 수익</t>
  </si>
  <si>
    <t xml:space="preserve">파트너 규모</t>
  </si>
  <si>
    <r>
      <rPr>
        <b val="true"/>
        <sz val="10"/>
        <color rgb="FFFFFFFF"/>
        <rFont val="Noto Sans CJK KR"/>
        <family val="2"/>
      </rPr>
      <t xml:space="preserve">월 공유 도달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팔로워</t>
    </r>
    <r>
      <rPr>
        <b val="true"/>
        <sz val="10"/>
        <color rgb="FFFFFFFF"/>
        <rFont val="Arial"/>
        <family val="0"/>
        <charset val="1"/>
      </rPr>
      <t xml:space="preserve">×</t>
    </r>
    <r>
      <rPr>
        <b val="true"/>
        <sz val="10"/>
        <color rgb="FFFFFFFF"/>
        <rFont val="Noto Sans CJK KR"/>
        <family val="2"/>
      </rPr>
      <t xml:space="preserve">도달률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</si>
  <si>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T1 </t>
    </r>
    <r>
      <rPr>
        <b val="true"/>
        <sz val="10"/>
        <color rgb="FFFFFFFF"/>
        <rFont val="Noto Sans CJK KR"/>
        <family val="2"/>
      </rPr>
      <t xml:space="preserve">구매 전환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도달</t>
    </r>
    <r>
      <rPr>
        <b val="true"/>
        <sz val="10"/>
        <color rgb="FFFFFFFF"/>
        <rFont val="Arial"/>
        <family val="0"/>
        <charset val="1"/>
      </rPr>
      <t xml:space="preserve">×1.5%)</t>
    </r>
  </si>
  <si>
    <r>
      <rPr>
        <b val="true"/>
        <sz val="10"/>
        <color rgb="FFFFFFFF"/>
        <rFont val="Arial"/>
        <family val="0"/>
        <charset val="1"/>
      </rPr>
      <t xml:space="preserve">T1 </t>
    </r>
    <r>
      <rPr>
        <b val="true"/>
        <sz val="10"/>
        <color rgb="FFFFFFFF"/>
        <rFont val="Noto Sans CJK KR"/>
        <family val="2"/>
      </rPr>
      <t xml:space="preserve">파트너 수익</t>
    </r>
  </si>
  <si>
    <r>
      <rPr>
        <b val="true"/>
        <sz val="10"/>
        <color rgb="FFFFFFFF"/>
        <rFont val="Arial"/>
        <family val="0"/>
        <charset val="1"/>
      </rPr>
      <t xml:space="preserve">OTO T2 </t>
    </r>
    <r>
      <rPr>
        <b val="true"/>
        <sz val="10"/>
        <color rgb="FFFFFFFF"/>
        <rFont val="Noto Sans CJK KR"/>
        <family val="2"/>
      </rPr>
      <t xml:space="preserve">수익
</t>
    </r>
    <r>
      <rPr>
        <b val="true"/>
        <sz val="10"/>
        <color rgb="FFFFFFFF"/>
        <rFont val="Arial"/>
        <family val="0"/>
        <charset val="1"/>
      </rPr>
      <t xml:space="preserve">(T1×24%)</t>
    </r>
  </si>
  <si>
    <r>
      <rPr>
        <b val="true"/>
        <sz val="10"/>
        <color rgb="FFFFFFFF"/>
        <rFont val="Noto Sans CJK KR"/>
        <family val="2"/>
      </rPr>
      <t xml:space="preserve">누적 수익
</t>
    </r>
    <r>
      <rPr>
        <b val="true"/>
        <sz val="10"/>
        <color rgb="FFFFFFFF"/>
        <rFont val="Arial"/>
        <family val="0"/>
        <charset val="1"/>
      </rPr>
      <t xml:space="preserve">(T2 </t>
    </r>
    <r>
      <rPr>
        <b val="true"/>
        <sz val="10"/>
        <color rgb="FFFFFFFF"/>
        <rFont val="Noto Sans CJK KR"/>
        <family val="2"/>
      </rPr>
      <t xml:space="preserve">포함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</si>
  <si>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연간 수익 예상</t>
  </si>
  <si>
    <r>
      <rPr>
        <sz val="10"/>
        <color rgb="FF000000"/>
        <rFont val="Noto Sans CJK KR"/>
        <family val="2"/>
      </rPr>
      <t xml:space="preserve">마이크로 인플루언서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팔로워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</si>
  <si>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스몰 인플루언서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팔로워 </t>
    </r>
    <r>
      <rPr>
        <sz val="10"/>
        <color rgb="FF000000"/>
        <rFont val="Arial"/>
        <family val="0"/>
        <charset val="1"/>
      </rPr>
      <t xml:space="preserve">5,000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</si>
  <si>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KR"/>
        <family val="2"/>
      </rPr>
      <t xml:space="preserve">미드 인플루언서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KR"/>
        <family val="2"/>
      </rPr>
      <t xml:space="preserve">팔로워 </t>
    </r>
    <r>
      <rPr>
        <b val="true"/>
        <sz val="10"/>
        <color rgb="FF000000"/>
        <rFont val="Arial"/>
        <family val="0"/>
        <charset val="1"/>
      </rPr>
      <t xml:space="preserve">20,000</t>
    </r>
    <r>
      <rPr>
        <b val="true"/>
        <sz val="10"/>
        <color rgb="FF000000"/>
        <rFont val="Noto Sans CJK KR"/>
        <family val="2"/>
      </rPr>
      <t xml:space="preserve">명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</si>
  <si>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매크로 인플루언서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팔로워 </t>
    </r>
    <r>
      <rPr>
        <sz val="10"/>
        <color rgb="FF000000"/>
        <rFont val="Arial"/>
        <family val="0"/>
        <charset val="1"/>
      </rPr>
      <t xml:space="preserve">100,000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</si>
  <si>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유튜버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블로거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월 방문 </t>
    </r>
    <r>
      <rPr>
        <sz val="10"/>
        <color rgb="FF000000"/>
        <rFont val="Arial"/>
        <family val="0"/>
        <charset val="1"/>
      </rPr>
      <t xml:space="preserve">50,000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</si>
  <si>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2"/>
        <color rgb="FFFFFFFF"/>
        <rFont val="Noto Sans CJK KR"/>
        <family val="2"/>
      </rPr>
      <t xml:space="preserve">📢 파트너 모집 핵심 메시지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KR"/>
        <family val="2"/>
      </rPr>
      <t xml:space="preserve">제안서 문구 초안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</si>
  <si>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포인트</t>
  </si>
  <si>
    <t xml:space="preserve">메시지</t>
  </si>
  <si>
    <r>
      <rPr>
        <b val="true"/>
        <sz val="10"/>
        <color rgb="FFE94560"/>
        <rFont val="Arial"/>
        <family val="0"/>
        <charset val="1"/>
      </rPr>
      <t xml:space="preserve">T1 </t>
    </r>
    <r>
      <rPr>
        <b val="true"/>
        <sz val="10"/>
        <color rgb="FFE94560"/>
        <rFont val="Noto Sans CJK KR"/>
        <family val="2"/>
      </rPr>
      <t xml:space="preserve">커미션 </t>
    </r>
    <r>
      <rPr>
        <b val="true"/>
        <sz val="10"/>
        <color rgb="FFE94560"/>
        <rFont val="Arial"/>
        <family val="0"/>
        <charset val="1"/>
      </rPr>
      <t xml:space="preserve">70%</t>
    </r>
  </si>
  <si>
    <r>
      <rPr>
        <sz val="10"/>
        <color rgb="FF2C3E50"/>
        <rFont val="Noto Sans CJK KR"/>
        <family val="2"/>
      </rPr>
      <t xml:space="preserve">판매가 </t>
    </r>
    <r>
      <rPr>
        <sz val="10"/>
        <color rgb="FF2C3E50"/>
        <rFont val="Arial"/>
        <family val="0"/>
        <charset val="1"/>
      </rPr>
      <t xml:space="preserve">$12.90</t>
    </r>
    <r>
      <rPr>
        <sz val="10"/>
        <color rgb="FF2C3E50"/>
        <rFont val="Noto Sans CJK KR"/>
        <family val="2"/>
      </rPr>
      <t xml:space="preserve">의 </t>
    </r>
    <r>
      <rPr>
        <sz val="10"/>
        <color rgb="FF2C3E50"/>
        <rFont val="Arial"/>
        <family val="0"/>
        <charset val="1"/>
      </rPr>
      <t xml:space="preserve">70% = $9.03 </t>
    </r>
    <r>
      <rPr>
        <sz val="10"/>
        <color rgb="FF2C3E50"/>
        <rFont val="Noto Sans CJK KR"/>
        <family val="2"/>
      </rPr>
      <t xml:space="preserve">파트너 수익</t>
    </r>
    <r>
      <rPr>
        <sz val="10"/>
        <color rgb="FF2C3E50"/>
        <rFont val="Arial"/>
        <family val="0"/>
        <charset val="1"/>
      </rPr>
      <t xml:space="preserve">!
</t>
    </r>
    <r>
      <rPr>
        <sz val="10"/>
        <color rgb="FF2C3E50"/>
        <rFont val="Noto Sans CJK KR"/>
        <family val="2"/>
      </rPr>
      <t xml:space="preserve">커피 한 잔 가격 상품으로 가장 높은 커미션</t>
    </r>
  </si>
  <si>
    <t xml:space="preserve">월 수익 예시</t>
  </si>
  <si>
    <r>
      <rPr>
        <sz val="10"/>
        <color rgb="FF2C3E50"/>
        <rFont val="Noto Sans CJK KR"/>
        <family val="2"/>
      </rPr>
      <t xml:space="preserve">팔로워 </t>
    </r>
    <r>
      <rPr>
        <sz val="10"/>
        <color rgb="FF2C3E50"/>
        <rFont val="Arial"/>
        <family val="0"/>
        <charset val="1"/>
      </rPr>
      <t xml:space="preserve">20,000</t>
    </r>
    <r>
      <rPr>
        <sz val="10"/>
        <color rgb="FF2C3E50"/>
        <rFont val="Noto Sans CJK KR"/>
        <family val="2"/>
      </rPr>
      <t xml:space="preserve">명 기준
링크 공유만으로 월 </t>
    </r>
    <r>
      <rPr>
        <sz val="10"/>
        <color rgb="FF2C3E50"/>
        <rFont val="Arial"/>
        <family val="0"/>
        <charset val="1"/>
      </rPr>
      <t xml:space="preserve">$500+ </t>
    </r>
    <r>
      <rPr>
        <sz val="10"/>
        <color rgb="FF2C3E50"/>
        <rFont val="Noto Sans CJK KR"/>
        <family val="2"/>
      </rPr>
      <t xml:space="preserve">가능</t>
    </r>
  </si>
  <si>
    <r>
      <rPr>
        <b val="true"/>
        <sz val="10"/>
        <color rgb="FFE94560"/>
        <rFont val="Arial"/>
        <family val="0"/>
        <charset val="1"/>
      </rPr>
      <t xml:space="preserve">CS </t>
    </r>
    <r>
      <rPr>
        <b val="true"/>
        <sz val="10"/>
        <color rgb="FFE94560"/>
        <rFont val="Noto Sans CJK KR"/>
        <family val="2"/>
      </rPr>
      <t xml:space="preserve">부담 없음</t>
    </r>
  </si>
  <si>
    <r>
      <rPr>
        <sz val="10"/>
        <color rgb="FF2C3E50"/>
        <rFont val="Noto Sans CJK KR"/>
        <family val="2"/>
      </rPr>
      <t xml:space="preserve">핫마트가 결제</t>
    </r>
    <r>
      <rPr>
        <sz val="10"/>
        <color rgb="FF2C3E50"/>
        <rFont val="Arial"/>
        <family val="0"/>
        <charset val="1"/>
      </rPr>
      <t xml:space="preserve">/</t>
    </r>
    <r>
      <rPr>
        <sz val="10"/>
        <color rgb="FF2C3E50"/>
        <rFont val="Noto Sans CJK KR"/>
        <family val="2"/>
      </rPr>
      <t xml:space="preserve">환불 처리
파트너는 링크 공유만</t>
    </r>
    <r>
      <rPr>
        <sz val="10"/>
        <color rgb="FF2C3E50"/>
        <rFont val="Arial"/>
        <family val="0"/>
        <charset val="1"/>
      </rPr>
      <t xml:space="preserve">!</t>
    </r>
  </si>
  <si>
    <t xml:space="preserve">리포트 무료 제공</t>
  </si>
  <si>
    <t xml:space="preserve">파트너에게 본인 유형 리포트 무료 제공
→ 직접 경험 후 진정성 홍보 가능</t>
  </si>
  <si>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민철 씨 순수익 시뮬레이션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Noto Sans CJK KR"/>
        <family val="2"/>
      </rPr>
      <t xml:space="preserve">제휴 파트너 활용 시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</si>
  <si>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b val="true"/>
        <sz val="12"/>
        <color rgb="FFFFFFFF"/>
        <rFont val="Noto Sans CJK KR"/>
        <family val="2"/>
      </rPr>
      <t xml:space="preserve">📊 파트너 수 </t>
    </r>
    <r>
      <rPr>
        <b val="true"/>
        <sz val="12"/>
        <color rgb="FFFFFFFF"/>
        <rFont val="Arial"/>
        <family val="0"/>
        <charset val="1"/>
      </rPr>
      <t xml:space="preserve">× </t>
    </r>
    <r>
      <rPr>
        <b val="true"/>
        <sz val="12"/>
        <color rgb="FFFFFFFF"/>
        <rFont val="Noto Sans CJK KR"/>
        <family val="2"/>
      </rPr>
      <t xml:space="preserve">활동 규모별 민철 씨 월 순수익</t>
    </r>
  </si>
  <si>
    <t xml:space="preserve">파트너 수</t>
  </si>
  <si>
    <r>
      <rPr>
        <b val="true"/>
        <sz val="10"/>
        <color rgb="FFFFFFFF"/>
        <rFont val="Noto Sans CJK KR"/>
        <family val="2"/>
      </rPr>
      <t xml:space="preserve">파트너당 월
</t>
    </r>
    <r>
      <rPr>
        <b val="true"/>
        <sz val="10"/>
        <color rgb="FFFFFFFF"/>
        <rFont val="Arial"/>
        <family val="0"/>
        <charset val="1"/>
      </rPr>
      <t xml:space="preserve">T1 </t>
    </r>
    <r>
      <rPr>
        <b val="true"/>
        <sz val="10"/>
        <color rgb="FFFFFFFF"/>
        <rFont val="Noto Sans CJK KR"/>
        <family val="2"/>
      </rPr>
      <t xml:space="preserve">판매수</t>
    </r>
  </si>
  <si>
    <r>
      <rPr>
        <b val="true"/>
        <sz val="10"/>
        <color rgb="FFFFFFFF"/>
        <rFont val="Noto Sans CJK KR"/>
        <family val="2"/>
      </rPr>
      <t xml:space="preserve">총 </t>
    </r>
    <r>
      <rPr>
        <b val="true"/>
        <sz val="10"/>
        <color rgb="FFFFFFFF"/>
        <rFont val="Arial"/>
        <family val="0"/>
        <charset val="1"/>
      </rPr>
      <t xml:space="preserve">T1 </t>
    </r>
    <r>
      <rPr>
        <b val="true"/>
        <sz val="10"/>
        <color rgb="FFFFFFFF"/>
        <rFont val="Noto Sans CJK KR"/>
        <family val="2"/>
      </rPr>
      <t xml:space="preserve">판매</t>
    </r>
  </si>
  <si>
    <r>
      <rPr>
        <b val="true"/>
        <sz val="10"/>
        <color rgb="FFFFFFFF"/>
        <rFont val="Noto Sans CJK KR"/>
        <family val="2"/>
      </rPr>
      <t xml:space="preserve">민철 씨
</t>
    </r>
    <r>
      <rPr>
        <b val="true"/>
        <sz val="10"/>
        <color rgb="FFFFFFFF"/>
        <rFont val="Arial"/>
        <family val="0"/>
        <charset val="1"/>
      </rPr>
      <t xml:space="preserve">T1 </t>
    </r>
    <r>
      <rPr>
        <b val="true"/>
        <sz val="10"/>
        <color rgb="FFFFFFFF"/>
        <rFont val="Noto Sans CJK KR"/>
        <family val="2"/>
      </rPr>
      <t xml:space="preserve">수익</t>
    </r>
  </si>
  <si>
    <r>
      <rPr>
        <b val="true"/>
        <sz val="10"/>
        <color rgb="FFFFFFFF"/>
        <rFont val="Arial"/>
        <family val="0"/>
        <charset val="1"/>
      </rPr>
      <t xml:space="preserve">OTO </t>
    </r>
    <r>
      <rPr>
        <b val="true"/>
        <sz val="10"/>
        <color rgb="FFFFFFFF"/>
        <rFont val="Noto Sans CJK KR"/>
        <family val="2"/>
      </rPr>
      <t xml:space="preserve">추가
수익</t>
    </r>
  </si>
  <si>
    <r>
      <rPr>
        <b val="true"/>
        <sz val="10"/>
        <color rgb="FFFFFFFF"/>
        <rFont val="Noto Sans CJK KR"/>
        <family val="2"/>
      </rPr>
      <t xml:space="preserve">총 순수익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KR"/>
        <family val="2"/>
      </rPr>
      <t xml:space="preserve">월</t>
    </r>
  </si>
  <si>
    <t xml:space="preserve">연간 순수익</t>
  </si>
  <si>
    <r>
      <rPr>
        <sz val="10"/>
        <color rgb="FF000000"/>
        <rFont val="Noto Sans CJK KR"/>
        <family val="2"/>
      </rPr>
      <t xml:space="preserve">마이크로 파트너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KR"/>
        <family val="2"/>
      </rPr>
      <t xml:space="preserve">명</t>
    </r>
  </si>
  <si>
    <r>
      <rPr>
        <sz val="10"/>
        <color rgb="FF000000"/>
        <rFont val="Noto Sans CJK KR"/>
        <family val="2"/>
      </rPr>
      <t xml:space="preserve">마이크로 파트너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KR"/>
        <family val="2"/>
      </rPr>
      <t xml:space="preserve">명</t>
    </r>
  </si>
  <si>
    <r>
      <rPr>
        <sz val="10"/>
        <color rgb="FF000000"/>
        <rFont val="Noto Sans CJK KR"/>
        <family val="2"/>
      </rPr>
      <t xml:space="preserve">스몰 파트너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KR"/>
        <family val="2"/>
      </rPr>
      <t xml:space="preserve">명</t>
    </r>
  </si>
  <si>
    <r>
      <rPr>
        <sz val="10"/>
        <color rgb="FF000000"/>
        <rFont val="Noto Sans CJK KR"/>
        <family val="2"/>
      </rPr>
      <t xml:space="preserve">스몰 파트너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KR"/>
        <family val="2"/>
      </rPr>
      <t xml:space="preserve">명</t>
    </r>
  </si>
  <si>
    <r>
      <rPr>
        <b val="true"/>
        <sz val="10"/>
        <color rgb="FF000000"/>
        <rFont val="Noto Sans CJK KR"/>
        <family val="2"/>
      </rPr>
      <t xml:space="preserve">스몰 파트너 </t>
    </r>
    <r>
      <rPr>
        <b val="true"/>
        <sz val="10"/>
        <color rgb="FF000000"/>
        <rFont val="Arial"/>
        <family val="0"/>
        <charset val="1"/>
      </rPr>
      <t xml:space="preserve">20</t>
    </r>
    <r>
      <rPr>
        <b val="true"/>
        <sz val="10"/>
        <color rgb="FF000000"/>
        <rFont val="Noto Sans CJK KR"/>
        <family val="2"/>
      </rPr>
      <t xml:space="preserve">명 ⭐</t>
    </r>
  </si>
  <si>
    <r>
      <rPr>
        <sz val="10"/>
        <color rgb="FF000000"/>
        <rFont val="Noto Sans CJK KR"/>
        <family val="2"/>
      </rPr>
      <t xml:space="preserve">미드 파트너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KR"/>
        <family val="2"/>
      </rPr>
      <t xml:space="preserve">명</t>
    </r>
  </si>
  <si>
    <r>
      <rPr>
        <b val="true"/>
        <sz val="10"/>
        <color rgb="FF000000"/>
        <rFont val="Noto Sans CJK KR"/>
        <family val="2"/>
      </rPr>
      <t xml:space="preserve">미드 파트너 </t>
    </r>
    <r>
      <rPr>
        <b val="true"/>
        <sz val="10"/>
        <color rgb="FF000000"/>
        <rFont val="Arial"/>
        <family val="0"/>
        <charset val="1"/>
      </rPr>
      <t xml:space="preserve">10</t>
    </r>
    <r>
      <rPr>
        <b val="true"/>
        <sz val="10"/>
        <color rgb="FF000000"/>
        <rFont val="Noto Sans CJK KR"/>
        <family val="2"/>
      </rPr>
      <t xml:space="preserve">명 🔥</t>
    </r>
  </si>
  <si>
    <r>
      <rPr>
        <b val="true"/>
        <sz val="10"/>
        <color rgb="FF000000"/>
        <rFont val="Noto Sans CJK KR"/>
        <family val="2"/>
      </rPr>
      <t xml:space="preserve">미드 파트너 </t>
    </r>
    <r>
      <rPr>
        <b val="true"/>
        <sz val="10"/>
        <color rgb="FF000000"/>
        <rFont val="Arial"/>
        <family val="0"/>
        <charset val="1"/>
      </rPr>
      <t xml:space="preserve">20</t>
    </r>
    <r>
      <rPr>
        <b val="true"/>
        <sz val="10"/>
        <color rgb="FF000000"/>
        <rFont val="Noto Sans CJK KR"/>
        <family val="2"/>
      </rPr>
      <t xml:space="preserve">명 🚀</t>
    </r>
  </si>
  <si>
    <r>
      <rPr>
        <b val="true"/>
        <sz val="12"/>
        <color rgb="FFFFFFFF"/>
        <rFont val="Noto Sans CJK KR"/>
        <family val="2"/>
      </rPr>
      <t xml:space="preserve">💡 핵심 인사이트 — </t>
    </r>
    <r>
      <rPr>
        <b val="true"/>
        <sz val="12"/>
        <color rgb="FFFFFFFF"/>
        <rFont val="Arial"/>
        <family val="0"/>
        <charset val="1"/>
      </rPr>
      <t xml:space="preserve">T1 </t>
    </r>
    <r>
      <rPr>
        <b val="true"/>
        <sz val="12"/>
        <color rgb="FFFFFFFF"/>
        <rFont val="Noto Sans CJK KR"/>
        <family val="2"/>
      </rPr>
      <t xml:space="preserve">커미션 </t>
    </r>
    <r>
      <rPr>
        <b val="true"/>
        <sz val="12"/>
        <color rgb="FFFFFFFF"/>
        <rFont val="Arial"/>
        <family val="0"/>
        <charset val="1"/>
      </rPr>
      <t xml:space="preserve">70%</t>
    </r>
    <r>
      <rPr>
        <b val="true"/>
        <sz val="12"/>
        <color rgb="FFFFFFFF"/>
        <rFont val="Noto Sans CJK KR"/>
        <family val="2"/>
      </rPr>
      <t xml:space="preserve">의 현실</t>
    </r>
  </si>
  <si>
    <t xml:space="preserve">인사이트</t>
  </si>
  <si>
    <t xml:space="preserve">내용</t>
  </si>
  <si>
    <r>
      <rPr>
        <b val="true"/>
        <sz val="10"/>
        <color rgb="FFE94560"/>
        <rFont val="Arial"/>
        <family val="0"/>
        <charset val="1"/>
      </rPr>
      <t xml:space="preserve">T1 </t>
    </r>
    <r>
      <rPr>
        <b val="true"/>
        <sz val="10"/>
        <color rgb="FFE94560"/>
        <rFont val="Noto Sans CJK KR"/>
        <family val="2"/>
      </rPr>
      <t xml:space="preserve">민철 씨 단가</t>
    </r>
  </si>
  <si>
    <r>
      <rPr>
        <sz val="10"/>
        <color rgb="FF2C3E50"/>
        <rFont val="Arial"/>
        <family val="0"/>
        <charset val="1"/>
      </rPr>
      <t xml:space="preserve">$9.90 × (1 - 70% - 9.9%) = $1.99/</t>
    </r>
    <r>
      <rPr>
        <sz val="10"/>
        <color rgb="FF2C3E50"/>
        <rFont val="Noto Sans CJK KR"/>
        <family val="2"/>
      </rPr>
      <t xml:space="preserve">건
→ T1 단품으로는 민철 씨 수익 매우 낮음</t>
    </r>
  </si>
  <si>
    <r>
      <rPr>
        <b val="true"/>
        <sz val="10"/>
        <color rgb="FFE94560"/>
        <rFont val="Noto Sans CJK KR"/>
        <family val="2"/>
      </rPr>
      <t xml:space="preserve">해결책</t>
    </r>
    <r>
      <rPr>
        <b val="true"/>
        <sz val="10"/>
        <color rgb="FFE94560"/>
        <rFont val="Arial"/>
        <family val="0"/>
        <charset val="1"/>
      </rPr>
      <t xml:space="preserve">: </t>
    </r>
    <r>
      <rPr>
        <b val="true"/>
        <sz val="10"/>
        <color rgb="FFE94560"/>
        <rFont val="Noto Sans CJK KR"/>
        <family val="2"/>
      </rPr>
      <t xml:space="preserve">가격 인상</t>
    </r>
  </si>
  <si>
    <r>
      <rPr>
        <sz val="10"/>
        <color rgb="FF2C3E50"/>
        <rFont val="Arial"/>
        <family val="0"/>
        <charset val="1"/>
      </rPr>
      <t xml:space="preserve">$12.90</t>
    </r>
    <r>
      <rPr>
        <sz val="10"/>
        <color rgb="FF2C3E50"/>
        <rFont val="Noto Sans CJK KR"/>
        <family val="2"/>
      </rPr>
      <t xml:space="preserve">으로 올리면 민철 씨 </t>
    </r>
    <r>
      <rPr>
        <sz val="10"/>
        <color rgb="FF2C3E50"/>
        <rFont val="Arial"/>
        <family val="0"/>
        <charset val="1"/>
      </rPr>
      <t xml:space="preserve">$2.60/</t>
    </r>
    <r>
      <rPr>
        <sz val="10"/>
        <color rgb="FF2C3E50"/>
        <rFont val="Noto Sans CJK KR"/>
        <family val="2"/>
      </rPr>
      <t xml:space="preserve">건
</t>
    </r>
    <r>
      <rPr>
        <sz val="10"/>
        <color rgb="FF2C3E50"/>
        <rFont val="Arial"/>
        <family val="0"/>
        <charset val="1"/>
      </rPr>
      <t xml:space="preserve">$14.90</t>
    </r>
    <r>
      <rPr>
        <sz val="10"/>
        <color rgb="FF2C3E50"/>
        <rFont val="Noto Sans CJK KR"/>
        <family val="2"/>
      </rPr>
      <t xml:space="preserve">으로 올리면 민철 씨 </t>
    </r>
    <r>
      <rPr>
        <sz val="10"/>
        <color rgb="FF2C3E50"/>
        <rFont val="Arial"/>
        <family val="0"/>
        <charset val="1"/>
      </rPr>
      <t xml:space="preserve">$3.08/</t>
    </r>
    <r>
      <rPr>
        <sz val="10"/>
        <color rgb="FF2C3E50"/>
        <rFont val="Noto Sans CJK KR"/>
        <family val="2"/>
      </rPr>
      <t xml:space="preserve">건</t>
    </r>
  </si>
  <si>
    <r>
      <rPr>
        <b val="true"/>
        <sz val="10"/>
        <color rgb="FFE94560"/>
        <rFont val="Noto Sans CJK KR"/>
        <family val="2"/>
      </rPr>
      <t xml:space="preserve">핵심 수익은 </t>
    </r>
    <r>
      <rPr>
        <b val="true"/>
        <sz val="10"/>
        <color rgb="FFE94560"/>
        <rFont val="Arial"/>
        <family val="0"/>
        <charset val="1"/>
      </rPr>
      <t xml:space="preserve">OTO</t>
    </r>
  </si>
  <si>
    <r>
      <rPr>
        <sz val="10"/>
        <color rgb="FF2C3E50"/>
        <rFont val="Arial"/>
        <family val="0"/>
        <charset val="1"/>
      </rPr>
      <t xml:space="preserve">T2+AppB OTO: $17.90 × 50% </t>
    </r>
    <r>
      <rPr>
        <sz val="10"/>
        <color rgb="FF2C3E50"/>
        <rFont val="Noto Sans CJK KR"/>
        <family val="2"/>
      </rPr>
      <t xml:space="preserve">커미션 후 민철 씨 </t>
    </r>
    <r>
      <rPr>
        <sz val="10"/>
        <color rgb="FF2C3E50"/>
        <rFont val="Arial"/>
        <family val="0"/>
        <charset val="1"/>
      </rPr>
      <t xml:space="preserve">$8.12/</t>
    </r>
    <r>
      <rPr>
        <sz val="10"/>
        <color rgb="FF2C3E50"/>
        <rFont val="Noto Sans CJK KR"/>
        <family val="2"/>
      </rPr>
      <t xml:space="preserve">건
→ 전체 수익의 </t>
    </r>
    <r>
      <rPr>
        <sz val="10"/>
        <color rgb="FF2C3E50"/>
        <rFont val="Arial"/>
        <family val="0"/>
        <charset val="1"/>
      </rPr>
      <t xml:space="preserve">80%</t>
    </r>
    <r>
      <rPr>
        <sz val="10"/>
        <color rgb="FF2C3E50"/>
        <rFont val="Noto Sans CJK KR"/>
        <family val="2"/>
      </rPr>
      <t xml:space="preserve">는 </t>
    </r>
    <r>
      <rPr>
        <sz val="10"/>
        <color rgb="FF2C3E50"/>
        <rFont val="Arial"/>
        <family val="0"/>
        <charset val="1"/>
      </rPr>
      <t xml:space="preserve">OTO</t>
    </r>
    <r>
      <rPr>
        <sz val="10"/>
        <color rgb="FF2C3E50"/>
        <rFont val="Noto Sans CJK KR"/>
        <family val="2"/>
      </rPr>
      <t xml:space="preserve">에서 발생</t>
    </r>
  </si>
  <si>
    <r>
      <rPr>
        <b val="true"/>
        <sz val="10"/>
        <color rgb="FF27AE60"/>
        <rFont val="Noto Sans CJK KR"/>
        <family val="2"/>
      </rPr>
      <t xml:space="preserve">파트너 </t>
    </r>
    <r>
      <rPr>
        <b val="true"/>
        <sz val="10"/>
        <color rgb="FF27AE60"/>
        <rFont val="Arial"/>
        <family val="0"/>
        <charset val="1"/>
      </rPr>
      <t xml:space="preserve">= </t>
    </r>
    <r>
      <rPr>
        <b val="true"/>
        <sz val="10"/>
        <color rgb="FF27AE60"/>
        <rFont val="Noto Sans CJK KR"/>
        <family val="2"/>
      </rPr>
      <t xml:space="preserve">트래픽 기계</t>
    </r>
  </si>
  <si>
    <r>
      <rPr>
        <b val="true"/>
        <sz val="10"/>
        <color rgb="FF2C3E50"/>
        <rFont val="Arial"/>
        <family val="0"/>
        <charset val="1"/>
      </rPr>
      <t xml:space="preserve">T1 </t>
    </r>
    <r>
      <rPr>
        <b val="true"/>
        <sz val="10"/>
        <color rgb="FF2C3E50"/>
        <rFont val="Noto Sans CJK KR"/>
        <family val="2"/>
      </rPr>
      <t xml:space="preserve">마진 낮아도 </t>
    </r>
    <r>
      <rPr>
        <b val="true"/>
        <sz val="10"/>
        <color rgb="FF2C3E50"/>
        <rFont val="Arial"/>
        <family val="0"/>
        <charset val="1"/>
      </rPr>
      <t xml:space="preserve">OK
</t>
    </r>
    <r>
      <rPr>
        <b val="true"/>
        <sz val="10"/>
        <color rgb="FF2C3E50"/>
        <rFont val="Noto Sans CJK KR"/>
        <family val="2"/>
      </rPr>
      <t xml:space="preserve">파트너는 검사 완료자 → </t>
    </r>
    <r>
      <rPr>
        <b val="true"/>
        <sz val="10"/>
        <color rgb="FF2C3E50"/>
        <rFont val="Arial"/>
        <family val="0"/>
        <charset val="1"/>
      </rPr>
      <t xml:space="preserve">T1 </t>
    </r>
    <r>
      <rPr>
        <b val="true"/>
        <sz val="10"/>
        <color rgb="FF2C3E50"/>
        <rFont val="Noto Sans CJK KR"/>
        <family val="2"/>
      </rPr>
      <t xml:space="preserve">구매 유도만 하면 됨
나머지 퍼널</t>
    </r>
    <r>
      <rPr>
        <b val="true"/>
        <sz val="10"/>
        <color rgb="FF2C3E50"/>
        <rFont val="Arial"/>
        <family val="0"/>
        <charset val="1"/>
      </rPr>
      <t xml:space="preserve">(OTO/</t>
    </r>
    <r>
      <rPr>
        <b val="true"/>
        <sz val="10"/>
        <color rgb="FF2C3E50"/>
        <rFont val="Noto Sans CJK KR"/>
        <family val="2"/>
      </rPr>
      <t xml:space="preserve">이메일</t>
    </r>
    <r>
      <rPr>
        <b val="true"/>
        <sz val="10"/>
        <color rgb="FF2C3E50"/>
        <rFont val="Arial"/>
        <family val="0"/>
        <charset val="1"/>
      </rPr>
      <t xml:space="preserve">)</t>
    </r>
    <r>
      <rPr>
        <b val="true"/>
        <sz val="10"/>
        <color rgb="FF2C3E50"/>
        <rFont val="Noto Sans CJK KR"/>
        <family val="2"/>
      </rPr>
      <t xml:space="preserve">에서 민철 씨가 수익 극대화</t>
    </r>
  </si>
  <si>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최종 권장 가격 </t>
    </r>
    <r>
      <rPr>
        <b val="true"/>
        <sz val="14"/>
        <color rgb="FFFFFFFF"/>
        <rFont val="Arial"/>
        <family val="0"/>
        <charset val="1"/>
      </rPr>
      <t xml:space="preserve">&amp; </t>
    </r>
    <r>
      <rPr>
        <b val="true"/>
        <sz val="14"/>
        <color rgb="FFFFFFFF"/>
        <rFont val="Noto Sans CJK KR"/>
        <family val="2"/>
      </rPr>
      <t xml:space="preserve">커미션 구조</t>
    </r>
  </si>
  <si>
    <r>
      <rPr>
        <b val="true"/>
        <sz val="12"/>
        <color rgb="FFFFFFFF"/>
        <rFont val="Arial"/>
        <family val="0"/>
        <charset val="1"/>
      </rPr>
      <t xml:space="preserve">🎯 T1 </t>
    </r>
    <r>
      <rPr>
        <b val="true"/>
        <sz val="12"/>
        <color rgb="FFFFFFFF"/>
        <rFont val="Noto Sans CJK KR"/>
        <family val="2"/>
      </rPr>
      <t xml:space="preserve">가격 </t>
    </r>
    <r>
      <rPr>
        <b val="true"/>
        <sz val="12"/>
        <color rgb="FFFFFFFF"/>
        <rFont val="Arial"/>
        <family val="0"/>
        <charset val="1"/>
      </rPr>
      <t xml:space="preserve">$12.90 </t>
    </r>
    <r>
      <rPr>
        <b val="true"/>
        <sz val="12"/>
        <color rgb="FFFFFFFF"/>
        <rFont val="Noto Sans CJK KR"/>
        <family val="2"/>
      </rPr>
      <t xml:space="preserve">기준 — 파트너 </t>
    </r>
    <r>
      <rPr>
        <b val="true"/>
        <sz val="12"/>
        <color rgb="FFFFFFFF"/>
        <rFont val="Arial"/>
        <family val="0"/>
        <charset val="1"/>
      </rPr>
      <t xml:space="preserve">70% </t>
    </r>
    <r>
      <rPr>
        <b val="true"/>
        <sz val="12"/>
        <color rgb="FFFFFFFF"/>
        <rFont val="Noto Sans CJK KR"/>
        <family val="2"/>
      </rPr>
      <t xml:space="preserve">커미션 최적 구조</t>
    </r>
  </si>
  <si>
    <t xml:space="preserve">권장 판매가</t>
  </si>
  <si>
    <t xml:space="preserve">파트너 커미션</t>
  </si>
  <si>
    <t xml:space="preserve">핫마트 수수료</t>
  </si>
  <si>
    <t xml:space="preserve">민철 씨 순수익</t>
  </si>
  <si>
    <r>
      <rPr>
        <b val="true"/>
        <sz val="10"/>
        <color rgb="FF000000"/>
        <rFont val="Arial"/>
        <family val="0"/>
        <charset val="1"/>
      </rPr>
      <t xml:space="preserve">T1 + App A  (</t>
    </r>
    <r>
      <rPr>
        <b val="true"/>
        <sz val="10"/>
        <color rgb="FF000000"/>
        <rFont val="Noto Sans CJK KR"/>
        <family val="2"/>
      </rPr>
      <t xml:space="preserve">스타터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</si>
  <si>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T2 + App B  (</t>
    </r>
    <r>
      <rPr>
        <b val="true"/>
        <sz val="10"/>
        <color rgb="FF000000"/>
        <rFont val="Noto Sans CJK KR"/>
        <family val="2"/>
      </rPr>
      <t xml:space="preserve">심층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</si>
  <si>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T3 + App C  (</t>
    </r>
    <r>
      <rPr>
        <b val="true"/>
        <sz val="10"/>
        <color rgb="FF000000"/>
        <rFont val="Noto Sans CJK KR"/>
        <family val="2"/>
      </rPr>
      <t xml:space="preserve">마스터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</si>
  <si>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Ultimate Pack  (</t>
    </r>
    <r>
      <rPr>
        <b val="true"/>
        <sz val="10"/>
        <color rgb="FF000000"/>
        <rFont val="Noto Sans CJK KR"/>
        <family val="2"/>
      </rPr>
      <t xml:space="preserve">완전판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</si>
  <si>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2"/>
        <color rgb="FFFFFFFF"/>
        <rFont val="Arial"/>
        <family val="0"/>
        <charset val="1"/>
      </rPr>
      <t xml:space="preserve">💰 T1 100</t>
    </r>
    <r>
      <rPr>
        <b val="true"/>
        <sz val="12"/>
        <color rgb="FFFFFFFF"/>
        <rFont val="Noto Sans CJK KR"/>
        <family val="2"/>
      </rPr>
      <t xml:space="preserve">명 판매 시 민철 씨 총 수익 흐름</t>
    </r>
  </si>
  <si>
    <t xml:space="preserve">전환 단계</t>
  </si>
  <si>
    <t xml:space="preserve">구매자 수</t>
  </si>
  <si>
    <t xml:space="preserve">커미션</t>
  </si>
  <si>
    <t xml:space="preserve">민철 씨 단가</t>
  </si>
  <si>
    <t xml:space="preserve">비고</t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</si>
  <si>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스타터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CJK KR"/>
        <family val="2"/>
      </rPr>
      <t xml:space="preserve">명</t>
    </r>
  </si>
  <si>
    <t xml:space="preserve">기본 진입</t>
  </si>
  <si>
    <r>
      <rPr>
        <sz val="10"/>
        <color rgb="FF000000"/>
        <rFont val="Arial"/>
        <family val="0"/>
        <charset val="1"/>
      </rPr>
      <t xml:space="preserve">OTO T2 </t>
    </r>
    <r>
      <rPr>
        <sz val="10"/>
        <color rgb="FF000000"/>
        <rFont val="Noto Sans CJK KR"/>
        <family val="2"/>
      </rPr>
      <t xml:space="preserve">전환 </t>
    </r>
    <r>
      <rPr>
        <sz val="10"/>
        <color rgb="FF000000"/>
        <rFont val="Arial"/>
        <family val="0"/>
        <charset val="1"/>
      </rPr>
      <t xml:space="preserve">(24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</si>
  <si>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t xml:space="preserve">구매 즉시 업셀</t>
  </si>
  <si>
    <r>
      <rPr>
        <sz val="10"/>
        <color rgb="FF000000"/>
        <rFont val="Noto Sans CJK KR"/>
        <family val="2"/>
      </rPr>
      <t xml:space="preserve">이메일 </t>
    </r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전환 </t>
    </r>
    <r>
      <rPr>
        <sz val="10"/>
        <color rgb="FF000000"/>
        <rFont val="Arial"/>
        <family val="0"/>
        <charset val="1"/>
      </rPr>
      <t xml:space="preserve">(10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</si>
  <si>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9"/>
        <color rgb="FF888888"/>
        <rFont val="Arial"/>
        <family val="0"/>
        <charset val="1"/>
      </rPr>
      <t xml:space="preserve">Day 7 </t>
    </r>
    <r>
      <rPr>
        <sz val="9"/>
        <color rgb="FF888888"/>
        <rFont val="Noto Sans CJK KR"/>
        <family val="2"/>
      </rPr>
      <t xml:space="preserve">이메일</t>
    </r>
  </si>
  <si>
    <r>
      <rPr>
        <sz val="10"/>
        <color rgb="FF000000"/>
        <rFont val="Noto Sans CJK KR"/>
        <family val="2"/>
      </rPr>
      <t xml:space="preserve">이메일 </t>
    </r>
    <r>
      <rPr>
        <sz val="10"/>
        <color rgb="FF000000"/>
        <rFont val="Arial"/>
        <family val="0"/>
        <charset val="1"/>
      </rPr>
      <t xml:space="preserve">Ultimate </t>
    </r>
    <r>
      <rPr>
        <sz val="10"/>
        <color rgb="FF000000"/>
        <rFont val="Noto Sans CJK KR"/>
        <family val="2"/>
      </rPr>
      <t xml:space="preserve">전환 </t>
    </r>
    <r>
      <rPr>
        <sz val="10"/>
        <color rgb="FF000000"/>
        <rFont val="Arial"/>
        <family val="0"/>
        <charset val="1"/>
      </rPr>
      <t xml:space="preserve">(5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</si>
  <si>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9"/>
        <color rgb="FF888888"/>
        <rFont val="Arial"/>
        <family val="0"/>
        <charset val="1"/>
      </rPr>
      <t xml:space="preserve">Day 9 </t>
    </r>
    <r>
      <rPr>
        <sz val="9"/>
        <color rgb="FF888888"/>
        <rFont val="Noto Sans CJK KR"/>
        <family val="2"/>
      </rPr>
      <t xml:space="preserve">이메일</t>
    </r>
  </si>
  <si>
    <r>
      <rPr>
        <b val="true"/>
        <sz val="11"/>
        <color rgb="FFFFFFFF"/>
        <rFont val="Noto Sans CJK KR"/>
        <family val="2"/>
      </rPr>
      <t xml:space="preserve">민철 씨 총 순수익 </t>
    </r>
    <r>
      <rPr>
        <b val="true"/>
        <sz val="11"/>
        <color rgb="FFFFFFFF"/>
        <rFont val="Arial"/>
        <family val="0"/>
        <charset val="1"/>
      </rPr>
      <t xml:space="preserve">(T1 100</t>
    </r>
    <r>
      <rPr>
        <b val="true"/>
        <sz val="11"/>
        <color rgb="FFFFFFFF"/>
        <rFont val="Noto Sans CJK KR"/>
        <family val="2"/>
      </rPr>
      <t xml:space="preserve">명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</si>
  <si>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5A623"/>
        <rFont val="Arial"/>
        <family val="0"/>
        <charset val="1"/>
      </rPr>
      <t xml:space="preserve">AOV: $6.69/</t>
    </r>
    <r>
      <rPr>
        <b val="true"/>
        <sz val="11"/>
        <color rgb="FFF5A623"/>
        <rFont val="Noto Sans CJK KR"/>
        <family val="2"/>
      </rPr>
      <t xml:space="preserve">인</t>
    </r>
  </si>
  <si>
    <r>
      <rPr>
        <b val="true"/>
        <sz val="12"/>
        <color rgb="FFFFFFFF"/>
        <rFont val="Noto Sans CJK KR"/>
        <family val="2"/>
      </rPr>
      <t xml:space="preserve">⚖️  제휴 없음 </t>
    </r>
    <r>
      <rPr>
        <b val="true"/>
        <sz val="12"/>
        <color rgb="FFFFFFFF"/>
        <rFont val="Arial"/>
        <family val="0"/>
        <charset val="1"/>
      </rPr>
      <t xml:space="preserve">vs </t>
    </r>
    <r>
      <rPr>
        <b val="true"/>
        <sz val="12"/>
        <color rgb="FFFFFFFF"/>
        <rFont val="Noto Sans CJK KR"/>
        <family val="2"/>
      </rPr>
      <t xml:space="preserve">제휴 있음 비교 </t>
    </r>
    <r>
      <rPr>
        <b val="true"/>
        <sz val="12"/>
        <color rgb="FFFFFFFF"/>
        <rFont val="Arial"/>
        <family val="0"/>
        <charset val="1"/>
      </rPr>
      <t xml:space="preserve">(T1 100</t>
    </r>
    <r>
      <rPr>
        <b val="true"/>
        <sz val="12"/>
        <color rgb="FFFFFFFF"/>
        <rFont val="Noto Sans CJK KR"/>
        <family val="2"/>
      </rPr>
      <t xml:space="preserve">명 기준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</si>
  <si>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제휴 없음</t>
  </si>
  <si>
    <t xml:space="preserve">제휴 있음</t>
  </si>
  <si>
    <t xml:space="preserve">차이</t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</si>
  <si>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진입 단가</t>
    </r>
  </si>
  <si>
    <t xml:space="preserve">$6.90</t>
  </si>
  <si>
    <t xml:space="preserve">$12.90</t>
  </si>
  <si>
    <r>
      <rPr>
        <sz val="10"/>
        <color rgb="FF2C3E50"/>
        <rFont val="Arial"/>
        <family val="0"/>
        <charset val="1"/>
      </rPr>
      <t xml:space="preserve">+$6.00 (</t>
    </r>
    <r>
      <rPr>
        <sz val="10"/>
        <color rgb="FF2C3E50"/>
        <rFont val="Noto Sans CJK KR"/>
        <family val="2"/>
      </rPr>
      <t xml:space="preserve">진입장벽↑</t>
    </r>
    <r>
      <rPr>
        <sz val="10"/>
        <color rgb="FF2C3E5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</si>
  <si>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민철 씨 단가</t>
    </r>
  </si>
  <si>
    <t xml:space="preserve">$6.29*</t>
  </si>
  <si>
    <t xml:space="preserve">$2.60</t>
  </si>
  <si>
    <t xml:space="preserve">-$3.69</t>
  </si>
  <si>
    <r>
      <rPr>
        <sz val="10"/>
        <color rgb="FF000000"/>
        <rFont val="Arial"/>
        <family val="0"/>
        <charset val="1"/>
      </rPr>
      <t xml:space="preserve">OTO T2 </t>
    </r>
    <r>
      <rPr>
        <sz val="10"/>
        <color rgb="FF000000"/>
        <rFont val="Noto Sans CJK KR"/>
        <family val="2"/>
      </rPr>
      <t xml:space="preserve">민철 씨</t>
    </r>
  </si>
  <si>
    <t xml:space="preserve">$16.29*</t>
  </si>
  <si>
    <t xml:space="preserve">$8.12</t>
  </si>
  <si>
    <t xml:space="preserve">-$8.17</t>
  </si>
  <si>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CJK KR"/>
        <family val="2"/>
      </rPr>
      <t xml:space="preserve">명 총 순수익</t>
    </r>
  </si>
  <si>
    <t xml:space="preserve">$~850</t>
  </si>
  <si>
    <t xml:space="preserve">$669</t>
  </si>
  <si>
    <t xml:space="preserve">제휴 규모에 따라 역전</t>
  </si>
  <si>
    <t xml:space="preserve">트래픽 규모</t>
  </si>
  <si>
    <t xml:space="preserve">광고비 한계</t>
  </si>
  <si>
    <t xml:space="preserve">파트너 무제한 확산</t>
  </si>
  <si>
    <t xml:space="preserve">🚀 핵심 차이</t>
  </si>
  <si>
    <r>
      <rPr>
        <i val="true"/>
        <sz val="9"/>
        <color rgb="FF888888"/>
        <rFont val="Arial"/>
        <family val="0"/>
        <charset val="1"/>
      </rPr>
      <t xml:space="preserve">* </t>
    </r>
    <r>
      <rPr>
        <i val="true"/>
        <sz val="9"/>
        <color rgb="FF888888"/>
        <rFont val="Noto Sans CJK KR"/>
        <family val="2"/>
      </rPr>
      <t xml:space="preserve">제휴 없음 기준</t>
    </r>
    <r>
      <rPr>
        <i val="true"/>
        <sz val="9"/>
        <color rgb="FF888888"/>
        <rFont val="Arial"/>
        <family val="0"/>
        <charset val="1"/>
      </rPr>
      <t xml:space="preserve">: </t>
    </r>
    <r>
      <rPr>
        <i val="true"/>
        <sz val="9"/>
        <color rgb="FF888888"/>
        <rFont val="Noto Sans CJK KR"/>
        <family val="2"/>
      </rPr>
      <t xml:space="preserve">핫마트 </t>
    </r>
    <r>
      <rPr>
        <i val="true"/>
        <sz val="9"/>
        <color rgb="FF888888"/>
        <rFont val="Arial"/>
        <family val="0"/>
        <charset val="1"/>
      </rPr>
      <t xml:space="preserve">9.9% </t>
    </r>
    <r>
      <rPr>
        <i val="true"/>
        <sz val="9"/>
        <color rgb="FF888888"/>
        <rFont val="Noto Sans CJK KR"/>
        <family val="2"/>
      </rPr>
      <t xml:space="preserve">수수료만 차감  </t>
    </r>
    <r>
      <rPr>
        <i val="true"/>
        <sz val="9"/>
        <color rgb="FF888888"/>
        <rFont val="Arial"/>
        <family val="0"/>
        <charset val="1"/>
      </rPr>
      <t xml:space="preserve">|  </t>
    </r>
    <r>
      <rPr>
        <i val="true"/>
        <sz val="9"/>
        <color rgb="FF888888"/>
        <rFont val="Noto Sans CJK KR"/>
        <family val="2"/>
      </rPr>
      <t xml:space="preserve">핵심</t>
    </r>
    <r>
      <rPr>
        <i val="true"/>
        <sz val="9"/>
        <color rgb="FF888888"/>
        <rFont val="Arial"/>
        <family val="0"/>
        <charset val="1"/>
      </rPr>
      <t xml:space="preserve">: T1 </t>
    </r>
    <r>
      <rPr>
        <i val="true"/>
        <sz val="9"/>
        <color rgb="FF888888"/>
        <rFont val="Noto Sans CJK KR"/>
        <family val="2"/>
      </rPr>
      <t xml:space="preserve">단가가 낮아도 파트너 트래픽 규모가 모든 걸 역전시킴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</si>
</sst>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%"/>
    <numFmt numFmtId="167" formatCode="0.0%"/>
    <numFmt numFmtId="168" formatCode="#,##0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KR"/>
      <family val="2"/>
    </font>
    <font>
      <sz val="9"/>
      <color rgb="FF555555"/>
      <name val="Noto Sans CJK KR"/>
      <family val="2"/>
    </font>
    <font>
      <sz val="9"/>
      <color rgb="FF555555"/>
      <name val="Arial"/>
      <family val="0"/>
      <charset val="1"/>
    </font>
    <font>
      <b val="true"/>
      <sz val="12"/>
      <color rgb="FFFFFFFF"/>
      <name val="Noto Sans CJK KR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Noto Sans CJK KR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KR"/>
      <family val="2"/>
    </font>
    <font>
      <b val="true"/>
      <sz val="11"/>
      <color rgb="FF0000FF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KR"/>
      <family val="2"/>
    </font>
    <font>
      <b val="true"/>
      <sz val="10"/>
      <color rgb="FF27AE6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888888"/>
      <name val="Noto Sans CJK KR"/>
      <family val="2"/>
    </font>
    <font>
      <b val="true"/>
      <sz val="11"/>
      <color rgb="FFFFFFFF"/>
      <name val="Noto Sans CJK KR"/>
      <family val="2"/>
    </font>
    <font>
      <b val="true"/>
      <sz val="11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sz val="10"/>
      <color rgb="FF1A1A2E"/>
      <name val="Noto Sans CJK KR"/>
      <family val="2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27AE60"/>
      <name val="Arial"/>
      <family val="0"/>
      <charset val="1"/>
    </font>
    <font>
      <sz val="9"/>
      <color rgb="FF000000"/>
      <name val="Noto Sans CJK KR"/>
      <family val="2"/>
    </font>
    <font>
      <sz val="10"/>
      <color rgb="FFE74C3C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E94560"/>
      <name val="Noto Sans CJK KR"/>
      <family val="2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Noto Sans CJK KR"/>
      <family val="2"/>
    </font>
    <font>
      <sz val="10"/>
      <color rgb="FF2980B9"/>
      <name val="Arial"/>
      <family val="0"/>
      <charset val="1"/>
    </font>
    <font>
      <sz val="10"/>
      <color rgb="FFE9456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E94560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2C3E50"/>
      <name val="Noto Sans CJK KR"/>
      <family val="2"/>
    </font>
    <font>
      <sz val="10"/>
      <color rgb="FF2C3E5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27AE60"/>
      <name val="Noto Sans CJK KR"/>
      <family val="2"/>
    </font>
    <font>
      <b val="true"/>
      <sz val="10"/>
      <color rgb="FF2C3E50"/>
      <name val="Arial"/>
      <family val="0"/>
      <charset val="1"/>
    </font>
    <font>
      <b val="true"/>
      <sz val="10"/>
      <color rgb="FF2C3E50"/>
      <name val="Noto Sans CJK KR"/>
      <family val="2"/>
    </font>
    <font>
      <sz val="9"/>
      <color rgb="FF888888"/>
      <name val="Noto Sans CJK KR"/>
      <family val="2"/>
    </font>
    <font>
      <sz val="9"/>
      <color rgb="FF888888"/>
      <name val="Arial"/>
      <family val="0"/>
      <charset val="1"/>
    </font>
    <font>
      <b val="true"/>
      <sz val="14"/>
      <color rgb="FFF5A623"/>
      <name val="Arial"/>
      <family val="0"/>
      <charset val="1"/>
    </font>
    <font>
      <b val="true"/>
      <sz val="11"/>
      <color rgb="FFF5A623"/>
      <name val="Arial"/>
      <family val="0"/>
      <charset val="1"/>
    </font>
    <font>
      <b val="true"/>
      <sz val="11"/>
      <color rgb="FFF5A623"/>
      <name val="Noto Sans CJK KR"/>
      <family val="2"/>
    </font>
    <font>
      <sz val="10"/>
      <color rgb="FF888888"/>
      <name val="Noto Sans CJK KR"/>
      <family val="2"/>
    </font>
  </fonts>
  <fills count="23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0F0F0"/>
        <bgColor rgb="FFF4ECF7"/>
      </patternFill>
    </fill>
    <fill>
      <patternFill patternType="solid">
        <fgColor rgb="FFE94560"/>
        <bgColor rgb="FFE74C3C"/>
      </patternFill>
    </fill>
    <fill>
      <patternFill patternType="solid">
        <fgColor rgb="FF2C3E50"/>
        <bgColor rgb="FF333399"/>
      </patternFill>
    </fill>
    <fill>
      <patternFill patternType="solid">
        <fgColor rgb="FFF8F9FA"/>
        <bgColor rgb="FFF0FAF5"/>
      </patternFill>
    </fill>
    <fill>
      <patternFill patternType="solid">
        <fgColor rgb="FFFFFACD"/>
        <bgColor rgb="FFFEF9E7"/>
      </patternFill>
    </fill>
    <fill>
      <patternFill patternType="solid">
        <fgColor rgb="FFF5A623"/>
        <bgColor rgb="FFFFCC00"/>
      </patternFill>
    </fill>
    <fill>
      <patternFill patternType="solid">
        <fgColor rgb="FFE74C3C"/>
        <bgColor rgb="FFE94560"/>
      </patternFill>
    </fill>
    <fill>
      <patternFill patternType="solid">
        <fgColor rgb="FFFFFFFF"/>
        <bgColor rgb="FFFFFEF5"/>
      </patternFill>
    </fill>
    <fill>
      <patternFill patternType="solid">
        <fgColor rgb="FFE8F8F5"/>
        <bgColor rgb="FFE8F6F3"/>
      </patternFill>
    </fill>
    <fill>
      <patternFill patternType="solid">
        <fgColor rgb="FFF0FAF5"/>
        <bgColor rgb="FFEAFAF1"/>
      </patternFill>
    </fill>
    <fill>
      <patternFill patternType="solid">
        <fgColor rgb="FFEAFAF1"/>
        <bgColor rgb="FFE8F8F5"/>
      </patternFill>
    </fill>
    <fill>
      <patternFill patternType="solid">
        <fgColor rgb="FFFEF9E7"/>
        <bgColor rgb="FFFFFEF5"/>
      </patternFill>
    </fill>
    <fill>
      <patternFill patternType="solid">
        <fgColor rgb="FF2980B9"/>
        <bgColor rgb="FF008080"/>
      </patternFill>
    </fill>
    <fill>
      <patternFill patternType="solid">
        <fgColor rgb="FF27AE60"/>
        <bgColor rgb="FF008080"/>
      </patternFill>
    </fill>
    <fill>
      <patternFill patternType="solid">
        <fgColor rgb="FFFDEDEC"/>
        <bgColor rgb="FFF4ECF7"/>
      </patternFill>
    </fill>
    <fill>
      <patternFill patternType="solid">
        <fgColor rgb="FFEBF5FB"/>
        <bgColor rgb="FFE8F6F3"/>
      </patternFill>
    </fill>
    <fill>
      <patternFill patternType="solid">
        <fgColor rgb="FFFFFEF5"/>
        <bgColor rgb="FFFFFFFF"/>
      </patternFill>
    </fill>
    <fill>
      <patternFill patternType="solid">
        <fgColor rgb="FFF4ECF7"/>
        <bgColor rgb="FFF0F0F0"/>
      </patternFill>
    </fill>
    <fill>
      <patternFill patternType="solid">
        <fgColor rgb="FFE8F6F3"/>
        <bgColor rgb="FFE8F8F5"/>
      </patternFill>
    </fill>
    <fill>
      <patternFill patternType="solid">
        <fgColor rgb="FF8E44AD"/>
        <bgColor rgb="FF55555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EF5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F4ECF7"/>
      <rgbColor rgb="FF888888"/>
      <rgbColor rgb="FF9999FF"/>
      <rgbColor rgb="FF8E44AD"/>
      <rgbColor rgb="FFFFFACD"/>
      <rgbColor rgb="FFE8F8F5"/>
      <rgbColor rgb="FF660066"/>
      <rgbColor rgb="FFFF8080"/>
      <rgbColor rgb="FF0066CC"/>
      <rgbColor rgb="FFDDDDDD"/>
      <rgbColor rgb="FF000080"/>
      <rgbColor rgb="FFFF00FF"/>
      <rgbColor rgb="FFF8F9FA"/>
      <rgbColor rgb="FF00FFFF"/>
      <rgbColor rgb="FF800080"/>
      <rgbColor rgb="FF800000"/>
      <rgbColor rgb="FF008080"/>
      <rgbColor rgb="FF0000FF"/>
      <rgbColor rgb="FF00CCFF"/>
      <rgbColor rgb="FFE8F6F3"/>
      <rgbColor rgb="FFEAFAF1"/>
      <rgbColor rgb="FFFEF9E7"/>
      <rgbColor rgb="FFEBF5FB"/>
      <rgbColor rgb="FFF0F0F0"/>
      <rgbColor rgb="FFF0FAF5"/>
      <rgbColor rgb="FFFDEDEC"/>
      <rgbColor rgb="FF3366FF"/>
      <rgbColor rgb="FF33CCCC"/>
      <rgbColor rgb="FF99CC00"/>
      <rgbColor rgb="FFFFCC00"/>
      <rgbColor rgb="FFF5A623"/>
      <rgbColor rgb="FFE74C3C"/>
      <rgbColor rgb="FF555555"/>
      <rgbColor rgb="FF969696"/>
      <rgbColor rgb="FF003366"/>
      <rgbColor rgb="FF27AE60"/>
      <rgbColor rgb="FF003300"/>
      <rgbColor rgb="FF1A1A2E"/>
      <rgbColor rgb="FF993300"/>
      <rgbColor rgb="FFE94560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7" min="5" style="0" width="14"/>
    <col collapsed="false" customWidth="true" hidden="false" outlineLevel="0" max="8" min="8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4" hidden="false" customHeight="true" outlineLevel="0" collapsed="false">
      <c r="A6" s="5" t="s">
        <v>11</v>
      </c>
      <c r="B6" s="6" t="n">
        <v>9.9</v>
      </c>
      <c r="C6" s="7" t="n">
        <v>0.7</v>
      </c>
      <c r="D6" s="8" t="n">
        <v>0.099</v>
      </c>
      <c r="E6" s="9" t="n">
        <f aca="false">B6*C6</f>
        <v>6.93</v>
      </c>
      <c r="F6" s="10" t="n">
        <f aca="false">-B6*D6</f>
        <v>-0.9801</v>
      </c>
      <c r="G6" s="11" t="n">
        <f aca="false">B6-E6+F6</f>
        <v>1.9899</v>
      </c>
      <c r="H6" s="12" t="s">
        <v>12</v>
      </c>
    </row>
    <row r="7" customFormat="false" ht="24" hidden="false" customHeight="true" outlineLevel="0" collapsed="false">
      <c r="A7" s="13" t="s">
        <v>13</v>
      </c>
      <c r="B7" s="6" t="n">
        <v>17.9</v>
      </c>
      <c r="C7" s="7" t="n">
        <v>0.5</v>
      </c>
      <c r="D7" s="14" t="n">
        <v>0.099</v>
      </c>
      <c r="E7" s="15" t="n">
        <f aca="false">B7*C7</f>
        <v>8.95</v>
      </c>
      <c r="F7" s="16" t="n">
        <f aca="false">-B7*D7</f>
        <v>-1.7721</v>
      </c>
      <c r="G7" s="17" t="n">
        <f aca="false">B7-E7+F7</f>
        <v>7.1779</v>
      </c>
      <c r="H7" s="18" t="s">
        <v>14</v>
      </c>
    </row>
    <row r="8" customFormat="false" ht="24" hidden="false" customHeight="true" outlineLevel="0" collapsed="false">
      <c r="A8" s="19" t="s">
        <v>15</v>
      </c>
      <c r="B8" s="6" t="n">
        <v>29.9</v>
      </c>
      <c r="C8" s="7" t="n">
        <v>0.4</v>
      </c>
      <c r="D8" s="8" t="n">
        <v>0.099</v>
      </c>
      <c r="E8" s="15" t="n">
        <f aca="false">B8*C8</f>
        <v>11.96</v>
      </c>
      <c r="F8" s="10" t="n">
        <f aca="false">-B8*D8</f>
        <v>-2.9601</v>
      </c>
      <c r="G8" s="20" t="n">
        <f aca="false">B8-E8+F8</f>
        <v>14.9799</v>
      </c>
      <c r="H8" s="12" t="s">
        <v>16</v>
      </c>
    </row>
    <row r="9" customFormat="false" ht="24" hidden="false" customHeight="true" outlineLevel="0" collapsed="false">
      <c r="A9" s="13" t="s">
        <v>17</v>
      </c>
      <c r="B9" s="6" t="n">
        <v>34.9</v>
      </c>
      <c r="C9" s="7" t="n">
        <v>0.4</v>
      </c>
      <c r="D9" s="14" t="n">
        <v>0.099</v>
      </c>
      <c r="E9" s="15" t="n">
        <f aca="false">B9*C9</f>
        <v>13.96</v>
      </c>
      <c r="F9" s="16" t="n">
        <f aca="false">-B9*D9</f>
        <v>-3.4551</v>
      </c>
      <c r="G9" s="17" t="n">
        <f aca="false">B9-E9+F9</f>
        <v>17.4849</v>
      </c>
      <c r="H9" s="18" t="s">
        <v>18</v>
      </c>
    </row>
    <row r="11" customFormat="false" ht="7.5" hidden="false" customHeight="true" outlineLevel="0" collapsed="false"/>
    <row r="12" customFormat="false" ht="15.75" hidden="false" customHeight="true" outlineLevel="0" collapsed="false">
      <c r="A12" s="21" t="s">
        <v>19</v>
      </c>
      <c r="B12" s="21"/>
      <c r="C12" s="21"/>
      <c r="D12" s="21"/>
      <c r="E12" s="21"/>
      <c r="F12" s="21"/>
      <c r="G12" s="21"/>
      <c r="H12" s="21"/>
    </row>
    <row r="13" customFormat="false" ht="7.5" hidden="false" customHeight="true" outlineLevel="0" collapsed="false"/>
    <row r="14" customFormat="false" ht="25.5" hidden="false" customHeight="true" outlineLevel="0" collapsed="false">
      <c r="A14" s="22" t="s">
        <v>20</v>
      </c>
      <c r="B14" s="22"/>
      <c r="C14" s="22"/>
      <c r="D14" s="22"/>
      <c r="E14" s="22"/>
      <c r="F14" s="22"/>
      <c r="G14" s="22"/>
      <c r="H14" s="22"/>
    </row>
    <row r="15" customFormat="false" ht="21.75" hidden="false" customHeight="true" outlineLevel="0" collapsed="false">
      <c r="A15" s="23" t="s">
        <v>21</v>
      </c>
      <c r="B15" s="4" t="s">
        <v>22</v>
      </c>
      <c r="C15" s="4" t="s">
        <v>23</v>
      </c>
      <c r="D15" s="24"/>
      <c r="E15" s="24"/>
      <c r="F15" s="24"/>
      <c r="G15" s="24"/>
      <c r="H15" s="24"/>
    </row>
    <row r="16" customFormat="false" ht="21.75" hidden="false" customHeight="true" outlineLevel="0" collapsed="false">
      <c r="A16" s="25" t="s">
        <v>24</v>
      </c>
      <c r="B16" s="26" t="n">
        <f aca="false">B6-E6+F6</f>
        <v>1.9899</v>
      </c>
      <c r="C16" s="27" t="str">
        <f aca="false">IF(B6-E6+F6&lt;2,"⚠️ 너무 낮음 — 검토 필요","✅ 적정 수준")</f>
        <v>⚠️ 너무 낮음 — 검토 필요</v>
      </c>
      <c r="D16" s="28"/>
      <c r="E16" s="28"/>
      <c r="F16" s="28"/>
      <c r="G16" s="28"/>
      <c r="H16" s="28"/>
    </row>
    <row r="17" customFormat="false" ht="21.75" hidden="false" customHeight="true" outlineLevel="0" collapsed="false">
      <c r="A17" s="19" t="s">
        <v>25</v>
      </c>
      <c r="B17" s="29" t="n">
        <f aca="false">(B6-E6+F6)/B6</f>
        <v>0.201</v>
      </c>
      <c r="C17" s="19" t="str">
        <f aca="false">IF((B6-E6+F6)/B6&lt;0.15,"⚠️ 15% 미만 위험","✅ OK")</f>
        <v>✅ OK</v>
      </c>
      <c r="D17" s="30"/>
      <c r="E17" s="30"/>
      <c r="F17" s="30"/>
      <c r="G17" s="30"/>
      <c r="H17" s="30"/>
    </row>
    <row r="18" customFormat="false" ht="21.75" hidden="false" customHeight="true" outlineLevel="0" collapsed="false">
      <c r="A18" s="13" t="s">
        <v>26</v>
      </c>
      <c r="B18" s="31" t="n">
        <f aca="false">(B7-E7+F7)/B7</f>
        <v>0.401</v>
      </c>
      <c r="C18" s="13" t="str">
        <f aca="false">IF((B7-E7+F7)/B7&lt;0.2,"⚠️ 20% 미만 검토","✅ OK")</f>
        <v>✅ OK</v>
      </c>
      <c r="D18" s="32"/>
      <c r="E18" s="32"/>
      <c r="F18" s="32"/>
      <c r="G18" s="32"/>
      <c r="H18" s="32"/>
    </row>
    <row r="19" customFormat="false" ht="21.75" hidden="false" customHeight="true" outlineLevel="0" collapsed="false">
      <c r="A19" s="19" t="s">
        <v>27</v>
      </c>
      <c r="B19" s="29" t="n">
        <f aca="false">(B8-E8+F8)/B8</f>
        <v>0.501</v>
      </c>
      <c r="C19" s="19" t="str">
        <f aca="false">IF((B8-E8+F8)/B8&lt;0.2,"⚠️ 20% 미만 검토","✅ OK")</f>
        <v>✅ OK</v>
      </c>
      <c r="D19" s="30"/>
      <c r="E19" s="30"/>
      <c r="F19" s="30"/>
      <c r="G19" s="30"/>
      <c r="H19" s="30"/>
    </row>
    <row r="21" customFormat="false" ht="7.5" hidden="false" customHeight="true" outlineLevel="0" collapsed="false"/>
    <row r="22" customFormat="false" ht="27.75" hidden="false" customHeight="true" outlineLevel="0" collapsed="false">
      <c r="A22" s="33" t="s">
        <v>28</v>
      </c>
      <c r="B22" s="33"/>
      <c r="C22" s="33"/>
      <c r="D22" s="33"/>
      <c r="E22" s="33"/>
      <c r="F22" s="33"/>
      <c r="G22" s="33"/>
      <c r="H22" s="33"/>
    </row>
    <row r="23" customFormat="false" ht="21.75" hidden="false" customHeight="true" outlineLevel="0" collapsed="false">
      <c r="A23" s="34" t="s">
        <v>29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34</v>
      </c>
      <c r="G23" s="4" t="s">
        <v>35</v>
      </c>
      <c r="H23" s="4"/>
    </row>
    <row r="24" customFormat="false" ht="21.75" hidden="false" customHeight="true" outlineLevel="0" collapsed="false">
      <c r="A24" s="35" t="n">
        <v>0.5</v>
      </c>
      <c r="B24" s="36" t="n">
        <v>9.9</v>
      </c>
      <c r="C24" s="37" t="n">
        <v>4.95</v>
      </c>
      <c r="D24" s="38" t="n">
        <v>3.9699</v>
      </c>
      <c r="E24" s="39" t="n">
        <v>0.401</v>
      </c>
      <c r="F24" s="40" t="s">
        <v>36</v>
      </c>
      <c r="G24" s="41"/>
      <c r="H24" s="30"/>
    </row>
    <row r="25" customFormat="false" ht="21.75" hidden="false" customHeight="true" outlineLevel="0" collapsed="false">
      <c r="A25" s="42" t="n">
        <v>0.6</v>
      </c>
      <c r="B25" s="43" t="n">
        <v>9.9</v>
      </c>
      <c r="C25" s="44" t="n">
        <v>5.94</v>
      </c>
      <c r="D25" s="45" t="n">
        <v>2.9799</v>
      </c>
      <c r="E25" s="46" t="n">
        <v>0.301</v>
      </c>
      <c r="F25" s="47" t="s">
        <v>37</v>
      </c>
      <c r="G25" s="48"/>
      <c r="H25" s="32"/>
    </row>
    <row r="26" customFormat="false" ht="21.75" hidden="false" customHeight="true" outlineLevel="0" collapsed="false">
      <c r="A26" s="35" t="n">
        <v>0.7</v>
      </c>
      <c r="B26" s="36" t="n">
        <v>9.9</v>
      </c>
      <c r="C26" s="37" t="n">
        <v>6.93</v>
      </c>
      <c r="D26" s="38" t="n">
        <v>1.9899</v>
      </c>
      <c r="E26" s="39" t="n">
        <v>0.201</v>
      </c>
      <c r="F26" s="40" t="s">
        <v>38</v>
      </c>
      <c r="G26" s="41"/>
      <c r="H26" s="30"/>
    </row>
    <row r="27" customFormat="false" ht="21.75" hidden="false" customHeight="true" outlineLevel="0" collapsed="false">
      <c r="A27" s="49" t="n">
        <v>0.7</v>
      </c>
      <c r="B27" s="50" t="n">
        <v>12.9</v>
      </c>
      <c r="C27" s="51" t="n">
        <v>9.03</v>
      </c>
      <c r="D27" s="50" t="n">
        <v>2.5929</v>
      </c>
      <c r="E27" s="52" t="n">
        <v>0.201</v>
      </c>
      <c r="F27" s="53" t="s">
        <v>38</v>
      </c>
      <c r="G27" s="54" t="s">
        <v>39</v>
      </c>
      <c r="H27" s="55"/>
    </row>
    <row r="28" customFormat="false" ht="21.75" hidden="false" customHeight="true" outlineLevel="0" collapsed="false">
      <c r="A28" s="35" t="n">
        <v>0.7</v>
      </c>
      <c r="B28" s="36" t="n">
        <v>14.9</v>
      </c>
      <c r="C28" s="37" t="n">
        <v>10.43</v>
      </c>
      <c r="D28" s="38" t="n">
        <v>2.9949</v>
      </c>
      <c r="E28" s="39" t="n">
        <v>0.201</v>
      </c>
      <c r="F28" s="40" t="s">
        <v>38</v>
      </c>
      <c r="G28" s="41"/>
      <c r="H28" s="30"/>
    </row>
  </sheetData>
  <mergeCells count="6">
    <mergeCell ref="A1:H1"/>
    <mergeCell ref="A2:H2"/>
    <mergeCell ref="A4:H4"/>
    <mergeCell ref="A12:H12"/>
    <mergeCell ref="A14:H14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1" t="s">
        <v>40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56" t="s">
        <v>41</v>
      </c>
      <c r="B2" s="56"/>
      <c r="C2" s="56"/>
      <c r="D2" s="56"/>
      <c r="E2" s="56"/>
      <c r="F2" s="56"/>
      <c r="G2" s="56"/>
    </row>
    <row r="3" customFormat="false" ht="7.5" hidden="false" customHeight="true" outlineLevel="0" collapsed="false"/>
    <row r="4" customFormat="false" ht="27.75" hidden="false" customHeight="true" outlineLevel="0" collapsed="false">
      <c r="A4" s="57" t="s">
        <v>42</v>
      </c>
      <c r="B4" s="57"/>
      <c r="C4" s="57"/>
      <c r="D4" s="57"/>
      <c r="E4" s="57"/>
      <c r="F4" s="57"/>
      <c r="G4" s="57"/>
    </row>
    <row r="5" customFormat="false" ht="7.5" hidden="false" customHeight="true" outlineLevel="0" collapsed="false"/>
    <row r="6" customFormat="false" ht="27.75" hidden="false" customHeight="true" outlineLevel="0" collapsed="false">
      <c r="A6" s="58" t="s">
        <v>43</v>
      </c>
      <c r="B6" s="58"/>
      <c r="C6" s="58"/>
      <c r="D6" s="58"/>
      <c r="E6" s="58"/>
      <c r="F6" s="58"/>
      <c r="G6" s="58"/>
    </row>
    <row r="7" customFormat="false" ht="30" hidden="false" customHeight="true" outlineLevel="0" collapsed="false">
      <c r="A7" s="4" t="s">
        <v>44</v>
      </c>
      <c r="B7" s="4" t="s">
        <v>45</v>
      </c>
      <c r="C7" s="34" t="s">
        <v>46</v>
      </c>
      <c r="D7" s="34" t="s">
        <v>47</v>
      </c>
      <c r="E7" s="34" t="s">
        <v>48</v>
      </c>
      <c r="F7" s="4" t="s">
        <v>49</v>
      </c>
      <c r="G7" s="4" t="s">
        <v>50</v>
      </c>
    </row>
    <row r="8" customFormat="false" ht="31.5" hidden="false" customHeight="true" outlineLevel="0" collapsed="false">
      <c r="A8" s="59" t="s">
        <v>51</v>
      </c>
      <c r="B8" s="60" t="n">
        <v>150</v>
      </c>
      <c r="C8" s="61" t="n">
        <f aca="false">ROUND(B8*0.015,0)</f>
        <v>2</v>
      </c>
      <c r="D8" s="62" t="n">
        <f aca="false">C8*'① 커미션 구조'!B6*'① 커미션 구조'!C6</f>
        <v>13.86</v>
      </c>
      <c r="E8" s="63" t="n">
        <f aca="false">ROUND(C8*0.24,0)*'① 커미션 구조'!B7*'① 커미션 구조'!C7</f>
        <v>0</v>
      </c>
      <c r="F8" s="64" t="n">
        <f aca="false">D8+E8</f>
        <v>13.86</v>
      </c>
      <c r="G8" s="65" t="n">
        <f aca="false">F8*12</f>
        <v>166.32</v>
      </c>
    </row>
    <row r="9" customFormat="false" ht="31.5" hidden="false" customHeight="true" outlineLevel="0" collapsed="false">
      <c r="A9" s="66" t="s">
        <v>52</v>
      </c>
      <c r="B9" s="67" t="n">
        <v>750</v>
      </c>
      <c r="C9" s="68" t="n">
        <f aca="false">ROUND(B9*0.015,0)</f>
        <v>11</v>
      </c>
      <c r="D9" s="62" t="n">
        <f aca="false">C9*'① 커미션 구조'!B6*'① 커미션 구조'!C6</f>
        <v>76.23</v>
      </c>
      <c r="E9" s="69" t="n">
        <f aca="false">ROUND(C9*0.24,0)*'① 커미션 구조'!B7*'① 커미션 구조'!C7</f>
        <v>26.85</v>
      </c>
      <c r="F9" s="70" t="n">
        <f aca="false">D9+E9</f>
        <v>103.08</v>
      </c>
      <c r="G9" s="71" t="n">
        <f aca="false">F9*12</f>
        <v>1236.96</v>
      </c>
    </row>
    <row r="10" customFormat="false" ht="31.5" hidden="false" customHeight="true" outlineLevel="0" collapsed="false">
      <c r="A10" s="72" t="s">
        <v>53</v>
      </c>
      <c r="B10" s="73" t="n">
        <v>3000</v>
      </c>
      <c r="C10" s="74" t="n">
        <f aca="false">ROUND(B10*0.015,0)</f>
        <v>45</v>
      </c>
      <c r="D10" s="51" t="n">
        <f aca="false">C10*'① 커미션 구조'!B6*'① 커미션 구조'!C6</f>
        <v>311.85</v>
      </c>
      <c r="E10" s="75" t="n">
        <f aca="false">ROUND(C10*0.24,0)*'① 커미션 구조'!B7*'① 커미션 구조'!C7</f>
        <v>98.45</v>
      </c>
      <c r="F10" s="9" t="n">
        <f aca="false">D10+E10</f>
        <v>410.3</v>
      </c>
      <c r="G10" s="76" t="n">
        <f aca="false">F10*12</f>
        <v>4923.6</v>
      </c>
    </row>
    <row r="11" customFormat="false" ht="31.5" hidden="false" customHeight="true" outlineLevel="0" collapsed="false">
      <c r="A11" s="77" t="s">
        <v>54</v>
      </c>
      <c r="B11" s="78" t="n">
        <v>15000</v>
      </c>
      <c r="C11" s="79" t="n">
        <f aca="false">ROUND(B11*0.015,0)</f>
        <v>225</v>
      </c>
      <c r="D11" s="62" t="n">
        <f aca="false">C11*'① 커미션 구조'!B6*'① 커미션 구조'!C6</f>
        <v>1559.25</v>
      </c>
      <c r="E11" s="80" t="n">
        <f aca="false">ROUND(C11*0.24,0)*'① 커미션 구조'!B7*'① 커미션 구조'!C7</f>
        <v>483.3</v>
      </c>
      <c r="F11" s="81" t="n">
        <f aca="false">D11+E11</f>
        <v>2042.55</v>
      </c>
      <c r="G11" s="82" t="n">
        <f aca="false">F11*12</f>
        <v>24510.6</v>
      </c>
    </row>
    <row r="12" customFormat="false" ht="31.5" hidden="false" customHeight="true" outlineLevel="0" collapsed="false">
      <c r="A12" s="83" t="s">
        <v>55</v>
      </c>
      <c r="B12" s="84" t="n">
        <v>5000</v>
      </c>
      <c r="C12" s="85" t="n">
        <f aca="false">ROUND(B12*0.015,0)</f>
        <v>75</v>
      </c>
      <c r="D12" s="62" t="n">
        <f aca="false">C12*'① 커미션 구조'!B6*'① 커미션 구조'!C6</f>
        <v>519.75</v>
      </c>
      <c r="E12" s="86" t="n">
        <f aca="false">ROUND(C12*0.24,0)*'① 커미션 구조'!B7*'① 커미션 구조'!C7</f>
        <v>161.1</v>
      </c>
      <c r="F12" s="87" t="n">
        <f aca="false">D12+E12</f>
        <v>680.85</v>
      </c>
      <c r="G12" s="88" t="n">
        <f aca="false">F12*12</f>
        <v>8170.2</v>
      </c>
    </row>
    <row r="14" customFormat="false" ht="7.5" hidden="false" customHeight="true" outlineLevel="0" collapsed="false"/>
    <row r="15" customFormat="false" ht="27.75" hidden="false" customHeight="true" outlineLevel="0" collapsed="false">
      <c r="A15" s="3" t="s">
        <v>56</v>
      </c>
      <c r="B15" s="3"/>
      <c r="C15" s="3"/>
      <c r="D15" s="3"/>
      <c r="E15" s="3"/>
      <c r="F15" s="3"/>
      <c r="G15" s="3"/>
    </row>
    <row r="16" customFormat="false" ht="21.75" hidden="false" customHeight="true" outlineLevel="0" collapsed="false">
      <c r="A16" s="4" t="s">
        <v>57</v>
      </c>
      <c r="B16" s="4" t="s">
        <v>58</v>
      </c>
      <c r="C16" s="4"/>
      <c r="D16" s="4"/>
      <c r="E16" s="4"/>
      <c r="F16" s="4"/>
      <c r="G16" s="4"/>
    </row>
    <row r="17" customFormat="false" ht="36" hidden="false" customHeight="true" outlineLevel="0" collapsed="false">
      <c r="A17" s="89" t="s">
        <v>59</v>
      </c>
      <c r="B17" s="90" t="s">
        <v>60</v>
      </c>
      <c r="C17" s="90"/>
      <c r="D17" s="90"/>
      <c r="E17" s="90"/>
      <c r="F17" s="90"/>
      <c r="G17" s="90"/>
    </row>
    <row r="18" customFormat="false" ht="36" hidden="false" customHeight="true" outlineLevel="0" collapsed="false">
      <c r="A18" s="91" t="s">
        <v>61</v>
      </c>
      <c r="B18" s="92" t="s">
        <v>62</v>
      </c>
      <c r="C18" s="92"/>
      <c r="D18" s="92"/>
      <c r="E18" s="92"/>
      <c r="F18" s="92"/>
      <c r="G18" s="92"/>
    </row>
    <row r="19" customFormat="false" ht="36" hidden="false" customHeight="true" outlineLevel="0" collapsed="false">
      <c r="A19" s="89" t="s">
        <v>63</v>
      </c>
      <c r="B19" s="90" t="s">
        <v>64</v>
      </c>
      <c r="C19" s="90"/>
      <c r="D19" s="90"/>
      <c r="E19" s="90"/>
      <c r="F19" s="90"/>
      <c r="G19" s="90"/>
    </row>
    <row r="20" customFormat="false" ht="36" hidden="false" customHeight="true" outlineLevel="0" collapsed="false">
      <c r="A20" s="91" t="s">
        <v>65</v>
      </c>
      <c r="B20" s="92" t="s">
        <v>66</v>
      </c>
      <c r="C20" s="92"/>
      <c r="D20" s="92"/>
      <c r="E20" s="92"/>
      <c r="F20" s="92"/>
      <c r="G20" s="92"/>
    </row>
  </sheetData>
  <mergeCells count="9">
    <mergeCell ref="A1:G1"/>
    <mergeCell ref="A2:G2"/>
    <mergeCell ref="A4:G4"/>
    <mergeCell ref="A6:G6"/>
    <mergeCell ref="A15:G15"/>
    <mergeCell ref="B17:G17"/>
    <mergeCell ref="B18:G18"/>
    <mergeCell ref="B19:G19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</row>
    <row r="2" customFormat="false" ht="7.5" hidden="false" customHeight="true" outlineLevel="0" collapsed="false"/>
    <row r="3" customFormat="false" ht="27.75" hidden="false" customHeight="true" outlineLevel="0" collapsed="false">
      <c r="A3" s="58" t="s">
        <v>68</v>
      </c>
      <c r="B3" s="58"/>
      <c r="C3" s="58"/>
      <c r="D3" s="58"/>
      <c r="E3" s="58"/>
      <c r="F3" s="58"/>
      <c r="G3" s="58"/>
    </row>
    <row r="4" customFormat="false" ht="30" hidden="false" customHeight="true" outlineLevel="0" collapsed="false">
      <c r="A4" s="4" t="s">
        <v>69</v>
      </c>
      <c r="B4" s="4" t="s">
        <v>70</v>
      </c>
      <c r="C4" s="4" t="s">
        <v>71</v>
      </c>
      <c r="D4" s="4" t="s">
        <v>72</v>
      </c>
      <c r="E4" s="34" t="s">
        <v>73</v>
      </c>
      <c r="F4" s="4" t="s">
        <v>74</v>
      </c>
      <c r="G4" s="4" t="s">
        <v>75</v>
      </c>
    </row>
    <row r="5" customFormat="false" ht="24" hidden="false" customHeight="true" outlineLevel="0" collapsed="false">
      <c r="A5" s="59" t="s">
        <v>76</v>
      </c>
      <c r="B5" s="93" t="n">
        <v>2</v>
      </c>
      <c r="C5" s="61" t="n">
        <v>10</v>
      </c>
      <c r="D5" s="38" t="n">
        <f aca="false">C5*'① 커미션 구조'!B6*(1-'① 커미션 구조'!C6-'① 커미션 구조'!D6)</f>
        <v>19.899</v>
      </c>
      <c r="E5" s="38" t="n">
        <f aca="false">ROUND(C5*0.24,0)*'① 커미션 구조'!B7*(1-'① 커미션 구조'!C7-'① 커미션 구조'!D7)</f>
        <v>14.3558</v>
      </c>
      <c r="F5" s="64" t="n">
        <f aca="false">D5+E5</f>
        <v>34.2548</v>
      </c>
      <c r="G5" s="65" t="n">
        <f aca="false">F5*12</f>
        <v>411.0576</v>
      </c>
    </row>
    <row r="6" customFormat="false" ht="24" hidden="false" customHeight="true" outlineLevel="0" collapsed="false">
      <c r="A6" s="66" t="s">
        <v>77</v>
      </c>
      <c r="B6" s="93" t="n">
        <v>2</v>
      </c>
      <c r="C6" s="68" t="n">
        <v>20</v>
      </c>
      <c r="D6" s="45" t="n">
        <f aca="false">C6*'① 커미션 구조'!B6*(1-'① 커미션 구조'!C6-'① 커미션 구조'!D6)</f>
        <v>39.798</v>
      </c>
      <c r="E6" s="45" t="n">
        <f aca="false">ROUND(C6*0.24,0)*'① 커미션 구조'!B7*(1-'① 커미션 구조'!C7-'① 커미션 구조'!D7)</f>
        <v>35.8895</v>
      </c>
      <c r="F6" s="70" t="n">
        <f aca="false">D6+E6</f>
        <v>75.6875</v>
      </c>
      <c r="G6" s="71" t="n">
        <f aca="false">F6*12</f>
        <v>908.25</v>
      </c>
    </row>
    <row r="7" customFormat="false" ht="24" hidden="false" customHeight="true" outlineLevel="0" collapsed="false">
      <c r="A7" s="59" t="s">
        <v>78</v>
      </c>
      <c r="B7" s="93" t="n">
        <v>10</v>
      </c>
      <c r="C7" s="61" t="n">
        <v>50</v>
      </c>
      <c r="D7" s="38" t="n">
        <f aca="false">C7*'① 커미션 구조'!B6*(1-'① 커미션 구조'!C6-'① 커미션 구조'!D6)</f>
        <v>99.495</v>
      </c>
      <c r="E7" s="38" t="n">
        <f aca="false">ROUND(C7*0.24,0)*'① 커미션 구조'!B7*(1-'① 커미션 구조'!C7-'① 커미션 구조'!D7)</f>
        <v>86.1348</v>
      </c>
      <c r="F7" s="64" t="n">
        <f aca="false">D7+E7</f>
        <v>185.6298</v>
      </c>
      <c r="G7" s="65" t="n">
        <f aca="false">F7*12</f>
        <v>2227.5576</v>
      </c>
    </row>
    <row r="8" customFormat="false" ht="24" hidden="false" customHeight="true" outlineLevel="0" collapsed="false">
      <c r="A8" s="66" t="s">
        <v>79</v>
      </c>
      <c r="B8" s="93" t="n">
        <v>10</v>
      </c>
      <c r="C8" s="68" t="n">
        <v>100</v>
      </c>
      <c r="D8" s="45" t="n">
        <f aca="false">C8*'① 커미션 구조'!B6*(1-'① 커미션 구조'!C6-'① 커미션 구조'!D6)</f>
        <v>198.99</v>
      </c>
      <c r="E8" s="45" t="n">
        <f aca="false">ROUND(C8*0.24,0)*'① 커미션 구조'!B7*(1-'① 커미션 구조'!C7-'① 커미션 구조'!D7)</f>
        <v>172.2696</v>
      </c>
      <c r="F8" s="70" t="n">
        <f aca="false">D8+E8</f>
        <v>371.2596</v>
      </c>
      <c r="G8" s="71" t="n">
        <f aca="false">F8*12</f>
        <v>4455.1152</v>
      </c>
    </row>
    <row r="9" customFormat="false" ht="24" hidden="false" customHeight="true" outlineLevel="0" collapsed="false">
      <c r="A9" s="94" t="s">
        <v>80</v>
      </c>
      <c r="B9" s="93" t="n">
        <v>10</v>
      </c>
      <c r="C9" s="95" t="n">
        <v>200</v>
      </c>
      <c r="D9" s="96" t="n">
        <f aca="false">C9*'① 커미션 구조'!B6*(1-'① 커미션 구조'!C6-'① 커미션 구조'!D6)</f>
        <v>397.98</v>
      </c>
      <c r="E9" s="96" t="n">
        <f aca="false">ROUND(C9*0.24,0)*'① 커미션 구조'!B7*(1-'① 커미션 구조'!C7-'① 커미션 구조'!D7)</f>
        <v>344.5392</v>
      </c>
      <c r="F9" s="15" t="n">
        <f aca="false">D9+E9</f>
        <v>742.5192</v>
      </c>
      <c r="G9" s="97" t="n">
        <f aca="false">F9*12</f>
        <v>8910.2304</v>
      </c>
    </row>
    <row r="10" customFormat="false" ht="24" hidden="false" customHeight="true" outlineLevel="0" collapsed="false">
      <c r="A10" s="66" t="s">
        <v>81</v>
      </c>
      <c r="B10" s="93" t="n">
        <v>50</v>
      </c>
      <c r="C10" s="68" t="n">
        <v>250</v>
      </c>
      <c r="D10" s="45" t="n">
        <f aca="false">C10*'① 커미션 구조'!B6*(1-'① 커미션 구조'!C6-'① 커미션 구조'!D6)</f>
        <v>497.475</v>
      </c>
      <c r="E10" s="45" t="n">
        <f aca="false">ROUND(C10*0.24,0)*'① 커미션 구조'!B7*(1-'① 커미션 구조'!C7-'① 커미션 구조'!D7)</f>
        <v>430.674</v>
      </c>
      <c r="F10" s="70" t="n">
        <f aca="false">D10+E10</f>
        <v>928.149</v>
      </c>
      <c r="G10" s="71" t="n">
        <f aca="false">F10*12</f>
        <v>11137.788</v>
      </c>
    </row>
    <row r="11" customFormat="false" ht="24" hidden="false" customHeight="true" outlineLevel="0" collapsed="false">
      <c r="A11" s="72" t="s">
        <v>82</v>
      </c>
      <c r="B11" s="93" t="n">
        <v>50</v>
      </c>
      <c r="C11" s="74" t="n">
        <v>500</v>
      </c>
      <c r="D11" s="98" t="n">
        <f aca="false">C11*'① 커미션 구조'!B6*(1-'① 커미션 구조'!C6-'① 커미션 구조'!D6)</f>
        <v>994.95</v>
      </c>
      <c r="E11" s="99" t="n">
        <f aca="false">ROUND(C11*0.24,0)*'① 커미션 구조'!B7*(1-'① 커미션 구조'!C7-'① 커미션 구조'!D7)</f>
        <v>861.348</v>
      </c>
      <c r="F11" s="100" t="n">
        <f aca="false">D11+E11</f>
        <v>1856.298</v>
      </c>
      <c r="G11" s="101" t="n">
        <f aca="false">F11*12</f>
        <v>22275.576</v>
      </c>
    </row>
    <row r="12" customFormat="false" ht="24" hidden="false" customHeight="true" outlineLevel="0" collapsed="false">
      <c r="A12" s="102" t="s">
        <v>83</v>
      </c>
      <c r="B12" s="93" t="n">
        <v>50</v>
      </c>
      <c r="C12" s="103" t="n">
        <v>1000</v>
      </c>
      <c r="D12" s="50" t="n">
        <f aca="false">C12*'① 커미션 구조'!B6*(1-'① 커미션 구조'!C6-'① 커미션 구조'!D6)</f>
        <v>1989.9</v>
      </c>
      <c r="E12" s="104" t="n">
        <f aca="false">ROUND(C12*0.24,0)*'① 커미션 구조'!B7*(1-'① 커미션 구조'!C7-'① 커미션 구조'!D7)</f>
        <v>1722.696</v>
      </c>
      <c r="F12" s="9" t="n">
        <f aca="false">D12+E12</f>
        <v>3712.596</v>
      </c>
      <c r="G12" s="105" t="n">
        <f aca="false">F12*12</f>
        <v>44551.152</v>
      </c>
    </row>
    <row r="14" customFormat="false" ht="7.5" hidden="false" customHeight="true" outlineLevel="0" collapsed="false"/>
    <row r="15" customFormat="false" ht="27.75" hidden="false" customHeight="true" outlineLevel="0" collapsed="false">
      <c r="A15" s="3" t="s">
        <v>84</v>
      </c>
      <c r="B15" s="3"/>
      <c r="C15" s="3"/>
      <c r="D15" s="3"/>
      <c r="E15" s="3"/>
      <c r="F15" s="3"/>
      <c r="G15" s="3"/>
    </row>
    <row r="16" customFormat="false" ht="21.75" hidden="false" customHeight="true" outlineLevel="0" collapsed="false">
      <c r="A16" s="4" t="s">
        <v>85</v>
      </c>
      <c r="B16" s="4" t="s">
        <v>86</v>
      </c>
      <c r="C16" s="4"/>
      <c r="D16" s="4"/>
      <c r="E16" s="4"/>
      <c r="F16" s="4"/>
      <c r="G16" s="4"/>
    </row>
    <row r="17" customFormat="false" ht="43.5" hidden="false" customHeight="true" outlineLevel="0" collapsed="false">
      <c r="A17" s="89" t="s">
        <v>87</v>
      </c>
      <c r="B17" s="106" t="s">
        <v>88</v>
      </c>
      <c r="C17" s="106"/>
      <c r="D17" s="106"/>
      <c r="E17" s="106"/>
      <c r="F17" s="106"/>
      <c r="G17" s="106"/>
    </row>
    <row r="18" customFormat="false" ht="43.5" hidden="false" customHeight="true" outlineLevel="0" collapsed="false">
      <c r="A18" s="91" t="s">
        <v>89</v>
      </c>
      <c r="B18" s="107" t="s">
        <v>90</v>
      </c>
      <c r="C18" s="107"/>
      <c r="D18" s="107"/>
      <c r="E18" s="107"/>
      <c r="F18" s="107"/>
      <c r="G18" s="107"/>
    </row>
    <row r="19" customFormat="false" ht="43.5" hidden="false" customHeight="true" outlineLevel="0" collapsed="false">
      <c r="A19" s="108" t="s">
        <v>91</v>
      </c>
      <c r="B19" s="106" t="s">
        <v>92</v>
      </c>
      <c r="C19" s="106"/>
      <c r="D19" s="106"/>
      <c r="E19" s="106"/>
      <c r="F19" s="106"/>
      <c r="G19" s="106"/>
    </row>
    <row r="20" customFormat="false" ht="43.5" hidden="false" customHeight="true" outlineLevel="0" collapsed="false">
      <c r="A20" s="109" t="s">
        <v>93</v>
      </c>
      <c r="B20" s="110" t="s">
        <v>94</v>
      </c>
      <c r="C20" s="110"/>
      <c r="D20" s="110"/>
      <c r="E20" s="110"/>
      <c r="F20" s="110"/>
      <c r="G20" s="110"/>
    </row>
  </sheetData>
  <mergeCells count="7">
    <mergeCell ref="A1:G1"/>
    <mergeCell ref="A3:G3"/>
    <mergeCell ref="A15:G15"/>
    <mergeCell ref="B17:G17"/>
    <mergeCell ref="B18:G18"/>
    <mergeCell ref="B19:G19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8"/>
  </cols>
  <sheetData>
    <row r="1" customFormat="false" ht="33.7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</row>
    <row r="2" customFormat="false" ht="7.5" hidden="false" customHeight="true" outlineLevel="0" collapsed="false"/>
    <row r="3" customFormat="false" ht="27.75" hidden="false" customHeight="true" outlineLevel="0" collapsed="false">
      <c r="A3" s="111" t="s">
        <v>96</v>
      </c>
      <c r="B3" s="111"/>
      <c r="C3" s="111"/>
      <c r="D3" s="111"/>
      <c r="E3" s="111"/>
      <c r="F3" s="111"/>
      <c r="G3" s="111"/>
    </row>
    <row r="4" customFormat="false" ht="21.75" hidden="false" customHeight="true" outlineLevel="0" collapsed="false">
      <c r="A4" s="4" t="s">
        <v>3</v>
      </c>
      <c r="B4" s="4" t="s">
        <v>97</v>
      </c>
      <c r="C4" s="4" t="s">
        <v>98</v>
      </c>
      <c r="D4" s="4" t="s">
        <v>31</v>
      </c>
      <c r="E4" s="4" t="s">
        <v>99</v>
      </c>
      <c r="F4" s="4" t="s">
        <v>100</v>
      </c>
      <c r="G4" s="4" t="s">
        <v>33</v>
      </c>
    </row>
    <row r="5" customFormat="false" ht="25.5" hidden="false" customHeight="true" outlineLevel="0" collapsed="false">
      <c r="A5" s="112" t="s">
        <v>101</v>
      </c>
      <c r="B5" s="113" t="n">
        <v>12.9</v>
      </c>
      <c r="C5" s="114" t="n">
        <v>0.7</v>
      </c>
      <c r="D5" s="115" t="n">
        <v>9.03</v>
      </c>
      <c r="E5" s="116" t="n">
        <v>-1.2771</v>
      </c>
      <c r="F5" s="9" t="n">
        <v>2.5929</v>
      </c>
      <c r="G5" s="117" t="n">
        <v>0.201</v>
      </c>
    </row>
    <row r="6" customFormat="false" ht="25.5" hidden="false" customHeight="true" outlineLevel="0" collapsed="false">
      <c r="A6" s="118" t="s">
        <v>102</v>
      </c>
      <c r="B6" s="119" t="n">
        <v>17.9</v>
      </c>
      <c r="C6" s="120" t="n">
        <v>0.5</v>
      </c>
      <c r="D6" s="121" t="n">
        <v>8.95</v>
      </c>
      <c r="E6" s="122" t="n">
        <v>-1.7721</v>
      </c>
      <c r="F6" s="119" t="n">
        <v>7.1779</v>
      </c>
      <c r="G6" s="123" t="n">
        <v>0.401</v>
      </c>
    </row>
    <row r="7" customFormat="false" ht="25.5" hidden="false" customHeight="true" outlineLevel="0" collapsed="false">
      <c r="A7" s="124" t="s">
        <v>103</v>
      </c>
      <c r="B7" s="125" t="n">
        <v>29.9</v>
      </c>
      <c r="C7" s="126" t="n">
        <v>0.4</v>
      </c>
      <c r="D7" s="127" t="n">
        <v>11.96</v>
      </c>
      <c r="E7" s="128" t="n">
        <v>-2.9601</v>
      </c>
      <c r="F7" s="125" t="n">
        <v>14.9799</v>
      </c>
      <c r="G7" s="129" t="n">
        <v>0.501</v>
      </c>
    </row>
    <row r="8" customFormat="false" ht="25.5" hidden="false" customHeight="true" outlineLevel="0" collapsed="false">
      <c r="A8" s="130" t="s">
        <v>104</v>
      </c>
      <c r="B8" s="131" t="n">
        <v>34.9</v>
      </c>
      <c r="C8" s="132" t="n">
        <v>0.4</v>
      </c>
      <c r="D8" s="133" t="n">
        <v>13.96</v>
      </c>
      <c r="E8" s="134" t="n">
        <v>-3.4551</v>
      </c>
      <c r="F8" s="131" t="n">
        <v>17.4849</v>
      </c>
      <c r="G8" s="135" t="n">
        <v>0.501</v>
      </c>
    </row>
    <row r="10" customFormat="false" ht="7.5" hidden="false" customHeight="true" outlineLevel="0" collapsed="false"/>
    <row r="11" customFormat="false" ht="27.75" hidden="false" customHeight="true" outlineLevel="0" collapsed="false">
      <c r="A11" s="136" t="s">
        <v>105</v>
      </c>
      <c r="B11" s="136"/>
      <c r="C11" s="136"/>
      <c r="D11" s="136"/>
      <c r="E11" s="136"/>
      <c r="F11" s="136"/>
      <c r="G11" s="136"/>
    </row>
    <row r="12" customFormat="false" ht="21.75" hidden="false" customHeight="true" outlineLevel="0" collapsed="false">
      <c r="A12" s="4" t="s">
        <v>106</v>
      </c>
      <c r="B12" s="4" t="s">
        <v>107</v>
      </c>
      <c r="C12" s="4" t="s">
        <v>30</v>
      </c>
      <c r="D12" s="4" t="s">
        <v>108</v>
      </c>
      <c r="E12" s="4" t="s">
        <v>109</v>
      </c>
      <c r="F12" s="4" t="s">
        <v>32</v>
      </c>
      <c r="G12" s="4" t="s">
        <v>110</v>
      </c>
    </row>
    <row r="13" customFormat="false" ht="24" hidden="false" customHeight="true" outlineLevel="0" collapsed="false">
      <c r="A13" s="19" t="s">
        <v>111</v>
      </c>
      <c r="B13" s="61" t="n">
        <v>100</v>
      </c>
      <c r="C13" s="63" t="n">
        <v>12.9</v>
      </c>
      <c r="D13" s="137" t="n">
        <v>0.7</v>
      </c>
      <c r="E13" s="138" t="n">
        <v>2.5929</v>
      </c>
      <c r="F13" s="15" t="n">
        <v>259.29</v>
      </c>
      <c r="G13" s="139" t="s">
        <v>112</v>
      </c>
    </row>
    <row r="14" customFormat="false" ht="24" hidden="false" customHeight="true" outlineLevel="0" collapsed="false">
      <c r="A14" s="13" t="s">
        <v>113</v>
      </c>
      <c r="B14" s="68" t="n">
        <v>24</v>
      </c>
      <c r="C14" s="69" t="n">
        <v>17.9</v>
      </c>
      <c r="D14" s="140" t="n">
        <v>0.5</v>
      </c>
      <c r="E14" s="141" t="n">
        <v>7.1779</v>
      </c>
      <c r="F14" s="142" t="n">
        <v>172.2696</v>
      </c>
      <c r="G14" s="143" t="s">
        <v>114</v>
      </c>
    </row>
    <row r="15" customFormat="false" ht="24" hidden="false" customHeight="true" outlineLevel="0" collapsed="false">
      <c r="A15" s="59" t="s">
        <v>115</v>
      </c>
      <c r="B15" s="61" t="n">
        <v>10</v>
      </c>
      <c r="C15" s="63" t="n">
        <v>29.9</v>
      </c>
      <c r="D15" s="137" t="n">
        <v>0.4</v>
      </c>
      <c r="E15" s="138" t="n">
        <v>14.9799</v>
      </c>
      <c r="F15" s="15" t="n">
        <v>149.799</v>
      </c>
      <c r="G15" s="144" t="s">
        <v>116</v>
      </c>
    </row>
    <row r="16" customFormat="false" ht="24" hidden="false" customHeight="true" outlineLevel="0" collapsed="false">
      <c r="A16" s="66" t="s">
        <v>117</v>
      </c>
      <c r="B16" s="68" t="n">
        <v>5</v>
      </c>
      <c r="C16" s="69" t="n">
        <v>34.9</v>
      </c>
      <c r="D16" s="140" t="n">
        <v>0.4</v>
      </c>
      <c r="E16" s="141" t="n">
        <v>17.4849</v>
      </c>
      <c r="F16" s="142" t="n">
        <v>87.4245</v>
      </c>
      <c r="G16" s="145" t="s">
        <v>118</v>
      </c>
    </row>
    <row r="17" customFormat="false" ht="27.75" hidden="false" customHeight="true" outlineLevel="0" collapsed="false">
      <c r="A17" s="146" t="s">
        <v>119</v>
      </c>
      <c r="B17" s="147"/>
      <c r="C17" s="147"/>
      <c r="D17" s="147"/>
      <c r="E17" s="147"/>
      <c r="F17" s="148" t="n">
        <v>668.7831</v>
      </c>
      <c r="G17" s="149" t="s">
        <v>120</v>
      </c>
    </row>
    <row r="18" customFormat="false" ht="7.5" hidden="false" customHeight="true" outlineLevel="0" collapsed="false"/>
    <row r="19" customFormat="false" ht="27.75" hidden="false" customHeight="true" outlineLevel="0" collapsed="false">
      <c r="A19" s="150" t="s">
        <v>121</v>
      </c>
      <c r="B19" s="150"/>
      <c r="C19" s="150"/>
      <c r="D19" s="150"/>
      <c r="E19" s="150"/>
      <c r="F19" s="150"/>
      <c r="G19" s="150"/>
    </row>
    <row r="20" customFormat="false" ht="21.75" hidden="false" customHeight="true" outlineLevel="0" collapsed="false">
      <c r="A20" s="4" t="s">
        <v>21</v>
      </c>
      <c r="B20" s="4" t="s">
        <v>122</v>
      </c>
      <c r="C20" s="4" t="s">
        <v>123</v>
      </c>
      <c r="D20" s="4" t="s">
        <v>124</v>
      </c>
      <c r="E20" s="4"/>
      <c r="F20" s="4"/>
      <c r="G20" s="4"/>
    </row>
    <row r="21" customFormat="false" ht="21.75" hidden="false" customHeight="true" outlineLevel="0" collapsed="false">
      <c r="A21" s="13" t="s">
        <v>125</v>
      </c>
      <c r="B21" s="151" t="s">
        <v>126</v>
      </c>
      <c r="C21" s="152" t="s">
        <v>127</v>
      </c>
      <c r="D21" s="153" t="s">
        <v>128</v>
      </c>
      <c r="E21" s="153"/>
      <c r="F21" s="153"/>
      <c r="G21" s="153"/>
    </row>
    <row r="22" customFormat="false" ht="21.75" hidden="false" customHeight="true" outlineLevel="0" collapsed="false">
      <c r="A22" s="19" t="s">
        <v>129</v>
      </c>
      <c r="B22" s="154" t="s">
        <v>130</v>
      </c>
      <c r="C22" s="155" t="s">
        <v>131</v>
      </c>
      <c r="D22" s="156" t="s">
        <v>132</v>
      </c>
      <c r="E22" s="156"/>
      <c r="F22" s="156"/>
      <c r="G22" s="156"/>
    </row>
    <row r="23" customFormat="false" ht="21.75" hidden="false" customHeight="true" outlineLevel="0" collapsed="false">
      <c r="A23" s="13" t="s">
        <v>133</v>
      </c>
      <c r="B23" s="151" t="s">
        <v>134</v>
      </c>
      <c r="C23" s="152" t="s">
        <v>135</v>
      </c>
      <c r="D23" s="153" t="s">
        <v>136</v>
      </c>
      <c r="E23" s="153"/>
      <c r="F23" s="153"/>
      <c r="G23" s="153"/>
    </row>
    <row r="24" customFormat="false" ht="21.75" hidden="false" customHeight="true" outlineLevel="0" collapsed="false">
      <c r="A24" s="19" t="s">
        <v>137</v>
      </c>
      <c r="B24" s="154" t="s">
        <v>138</v>
      </c>
      <c r="C24" s="155" t="s">
        <v>139</v>
      </c>
      <c r="D24" s="157" t="s">
        <v>140</v>
      </c>
      <c r="E24" s="157"/>
      <c r="F24" s="157"/>
      <c r="G24" s="157"/>
    </row>
    <row r="25" customFormat="false" ht="21.75" hidden="false" customHeight="true" outlineLevel="0" collapsed="false">
      <c r="A25" s="158" t="s">
        <v>141</v>
      </c>
      <c r="B25" s="159" t="s">
        <v>142</v>
      </c>
      <c r="C25" s="160" t="s">
        <v>143</v>
      </c>
      <c r="D25" s="161" t="s">
        <v>144</v>
      </c>
      <c r="E25" s="161"/>
      <c r="F25" s="161"/>
      <c r="G25" s="161"/>
    </row>
    <row r="27" customFormat="false" ht="15.75" hidden="false" customHeight="true" outlineLevel="0" collapsed="false">
      <c r="A27" s="21" t="s">
        <v>145</v>
      </c>
      <c r="B27" s="21"/>
      <c r="C27" s="21"/>
      <c r="D27" s="21"/>
      <c r="E27" s="21"/>
      <c r="F27" s="21"/>
      <c r="G27" s="21"/>
    </row>
  </sheetData>
  <mergeCells count="10">
    <mergeCell ref="A1:G1"/>
    <mergeCell ref="A3:G3"/>
    <mergeCell ref="A11:G11"/>
    <mergeCell ref="A19:G19"/>
    <mergeCell ref="D21:G21"/>
    <mergeCell ref="D22:G22"/>
    <mergeCell ref="D23:G23"/>
    <mergeCell ref="D24:G24"/>
    <mergeCell ref="D25:G25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2026-02-22T11:51:23Z</dcterms:created>
  <dc:creator>openpyxl</dc:creator>
  <dc:description/>
  <dc:language>en-US</dc:language>
  <cp:lastModifiedBy/>
  <dcterms:modified xsi:type="dcterms:W3CDTF">2026-02-22T11:51:23Z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