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핵심 가정" sheetId="1" state="visible" r:id="rId3"/>
    <sheet name="② 파레토 수익 분석" sheetId="2" state="visible" r:id="rId4"/>
    <sheet name="③ 12개월 성장" sheetId="3" state="visible" r:id="rId5"/>
    <sheet name="④ 파트너 집중 전략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<sst xmlns="http://schemas.openxmlformats.org/spreadsheetml/2006/main" count="209" uniqueCount="143">
  <si>
    <r>
      <rPr>
        <b val="true"/>
        <sz val="13"/>
        <color rgb="FFFFFFFF"/>
        <rFont val="Arial"/>
        <family val="0"/>
        <charset val="1"/>
      </rPr>
      <t xml:space="preserve">🎯 Shadowgram </t>
    </r>
    <r>
      <rPr>
        <b val="true"/>
        <sz val="13"/>
        <color rgb="FFFFFFFF"/>
        <rFont val="Noto Sans CJK KR"/>
        <family val="2"/>
      </rPr>
      <t xml:space="preserve">파레토 법칙 수익 시뮬레이션 — 핵심 가정</t>
    </r>
  </si>
  <si>
    <t xml:space="preserve">파트너 100명 운영 → 상위 20명(20%)이 전체 수익 80% 창출 가정</t>
  </si>
  <si>
    <t xml:space="preserve">📦 번들 가격 &amp; 커미션 구조</t>
  </si>
  <si>
    <t xml:space="preserve">항목</t>
  </si>
  <si>
    <t xml:space="preserve">번들가 ($)</t>
  </si>
  <si>
    <r>
      <rPr>
        <b val="true"/>
        <sz val="12"/>
        <color rgb="FFFFFFFF"/>
        <rFont val="Arial"/>
        <family val="0"/>
        <charset val="1"/>
      </rPr>
      <t xml:space="preserve">Hotmart </t>
    </r>
    <r>
      <rPr>
        <b val="true"/>
        <sz val="12"/>
        <color rgb="FFFFFFFF"/>
        <rFont val="Noto Sans CJK KR"/>
        <family val="2"/>
      </rPr>
      <t xml:space="preserve">수수료</t>
    </r>
  </si>
  <si>
    <t xml:space="preserve">커미션율</t>
  </si>
  <si>
    <t xml:space="preserve">파트너 수익/건 ($)</t>
  </si>
  <si>
    <t xml:space="preserve">오너 수익/건 ($)</t>
  </si>
  <si>
    <t xml:space="preserve">오너 수익/건 (₩)</t>
  </si>
  <si>
    <r>
      <rPr>
        <sz val="11"/>
        <color rgb="FF000000"/>
        <rFont val="Arial"/>
        <family val="0"/>
        <charset val="1"/>
      </rPr>
      <t xml:space="preserve">T1+AppA </t>
    </r>
    <r>
      <rPr>
        <sz val="11"/>
        <color rgb="FF000000"/>
        <rFont val="Noto Sans CJK KR"/>
        <family val="2"/>
      </rPr>
      <t xml:space="preserve">번들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KR"/>
        <family val="2"/>
      </rPr>
      <t xml:space="preserve">미끼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KR"/>
        <family val="2"/>
      </rPr>
      <t xml:space="preserve">트립와이어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</si>
  <si>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T2+AppB </t>
    </r>
    <r>
      <rPr>
        <sz val="11"/>
        <color rgb="FF000000"/>
        <rFont val="Noto Sans CJK KR"/>
        <family val="2"/>
      </rPr>
      <t xml:space="preserve">번들 </t>
    </r>
    <r>
      <rPr>
        <sz val="11"/>
        <color rgb="FF000000"/>
        <rFont val="Arial"/>
        <family val="0"/>
        <charset val="1"/>
      </rPr>
      <t xml:space="preserve">(OTO </t>
    </r>
    <r>
      <rPr>
        <sz val="11"/>
        <color rgb="FF000000"/>
        <rFont val="Noto Sans CJK KR"/>
        <family val="2"/>
      </rPr>
      <t xml:space="preserve">전환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</si>
  <si>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T3+AppC </t>
    </r>
    <r>
      <rPr>
        <sz val="11"/>
        <color rgb="FF000000"/>
        <rFont val="Noto Sans CJK KR"/>
        <family val="2"/>
      </rPr>
      <t xml:space="preserve">번들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KR"/>
        <family val="2"/>
      </rPr>
      <t xml:space="preserve">이메일 업셀</t>
    </r>
    <r>
      <rPr>
        <sz val="11"/>
        <color rgb="FF000000"/>
        <rFont val="Arial"/>
        <family val="0"/>
        <charset val="1"/>
      </rPr>
      <t xml:space="preserve">)</t>
    </r>
  </si>
  <si>
    <t xml:space="preserve">📊 파레토 법칙 가정 (파트너 100명 기준)</t>
  </si>
  <si>
    <t xml:space="preserve">전체 파트너 수 (명)</t>
  </si>
  <si>
    <t xml:space="preserve">명</t>
  </si>
  <si>
    <t xml:space="preserve">상위 파트너 비율 (파레토 20%)</t>
  </si>
  <si>
    <t xml:space="preserve">상위 파트너 수 (명)</t>
  </si>
  <si>
    <t xml:space="preserve">하위 파트너 비율</t>
  </si>
  <si>
    <t xml:space="preserve">하위 파트너 수 (명)</t>
  </si>
  <si>
    <t xml:space="preserve">💰 파트너 그룹별 월 판매량 가정</t>
  </si>
  <si>
    <t xml:space="preserve">파트너 그룹</t>
  </si>
  <si>
    <t xml:space="preserve">해당 인원</t>
  </si>
  <si>
    <r>
      <rPr>
        <b val="true"/>
        <sz val="12"/>
        <color rgb="FFFFFFFF"/>
        <rFont val="Arial"/>
        <family val="0"/>
        <charset val="1"/>
      </rPr>
      <t xml:space="preserve">T1 </t>
    </r>
    <r>
      <rPr>
        <b val="true"/>
        <sz val="12"/>
        <color rgb="FFFFFFFF"/>
        <rFont val="Noto Sans CJK KR"/>
        <family val="2"/>
      </rPr>
      <t xml:space="preserve">월판매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Noto Sans CJK KR"/>
        <family val="2"/>
      </rPr>
      <t xml:space="preserve">건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</si>
  <si>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b val="true"/>
        <sz val="12"/>
        <color rgb="FFFFFFFF"/>
        <rFont val="Arial"/>
        <family val="0"/>
        <charset val="1"/>
      </rPr>
      <t xml:space="preserve">T2 OTO</t>
    </r>
    <r>
      <rPr>
        <b val="true"/>
        <sz val="12"/>
        <color rgb="FFFFFFFF"/>
        <rFont val="Noto Sans CJK KR"/>
        <family val="2"/>
      </rPr>
      <t xml:space="preserve">전환</t>
    </r>
  </si>
  <si>
    <r>
      <rPr>
        <b val="true"/>
        <sz val="12"/>
        <color rgb="FFFFFFFF"/>
        <rFont val="Arial"/>
        <family val="0"/>
        <charset val="1"/>
      </rPr>
      <t xml:space="preserve">T3 </t>
    </r>
    <r>
      <rPr>
        <b val="true"/>
        <sz val="12"/>
        <color rgb="FFFFFFFF"/>
        <rFont val="Noto Sans CJK KR"/>
        <family val="2"/>
      </rPr>
      <t xml:space="preserve">이메일전환</t>
    </r>
  </si>
  <si>
    <t xml:space="preserve">비고</t>
  </si>
  <si>
    <t xml:space="preserve">🔥 상위 파트너 (파레토 20명)</t>
  </si>
  <si>
    <t xml:space="preserve">월 80건+ 판매 고수</t>
  </si>
  <si>
    <t xml:space="preserve">📌 중간 파트너 (중위 30명)</t>
  </si>
  <si>
    <t xml:space="preserve">꾸준히 월 20건 수준</t>
  </si>
  <si>
    <t xml:space="preserve">😴 하위 파트너 (하위 50명)</t>
  </si>
  <si>
    <t xml:space="preserve">거의 비활성 (월 1-5건)</t>
  </si>
  <si>
    <t xml:space="preserve">⚙️ 기타 가정</t>
  </si>
  <si>
    <t xml:space="preserve">환율 (원/달러)</t>
  </si>
  <si>
    <t xml:space="preserve">오너 CS/운영 시간 (주당 시간)</t>
  </si>
  <si>
    <t xml:space="preserve">파트너 온보딩 비용/명 ($)</t>
  </si>
  <si>
    <t xml:space="preserve">💎 파레토 법칙 적용 — 파트너 그룹별 월 수익 분석</t>
  </si>
  <si>
    <t xml:space="preserve">오너(민철 씨) 기준 수익 | 파트너 그룹별 T1→T2(OTO)→T3(이메일) 흐름</t>
  </si>
  <si>
    <t xml:space="preserve">인원</t>
  </si>
  <si>
    <r>
      <rPr>
        <b val="true"/>
        <sz val="12"/>
        <color rgb="FFFFFFFF"/>
        <rFont val="Arial"/>
        <family val="0"/>
        <charset val="1"/>
      </rPr>
      <t xml:space="preserve">T1 </t>
    </r>
    <r>
      <rPr>
        <b val="true"/>
        <sz val="12"/>
        <color rgb="FFFFFFFF"/>
        <rFont val="Noto Sans CJK KR"/>
        <family val="2"/>
      </rPr>
      <t xml:space="preserve">월판매</t>
    </r>
  </si>
  <si>
    <r>
      <rPr>
        <b val="true"/>
        <sz val="12"/>
        <color rgb="FFFFFFFF"/>
        <rFont val="Arial"/>
        <family val="0"/>
        <charset val="1"/>
      </rPr>
      <t xml:space="preserve">T1 </t>
    </r>
    <r>
      <rPr>
        <b val="true"/>
        <sz val="12"/>
        <color rgb="FFFFFFFF"/>
        <rFont val="Noto Sans CJK KR"/>
        <family val="2"/>
      </rPr>
      <t xml:space="preserve">오너수익 </t>
    </r>
    <r>
      <rPr>
        <b val="true"/>
        <sz val="12"/>
        <color rgb="FFFFFFFF"/>
        <rFont val="Arial"/>
        <family val="0"/>
        <charset val="1"/>
      </rPr>
      <t xml:space="preserve">($)</t>
    </r>
  </si>
  <si>
    <r>
      <rPr>
        <b val="true"/>
        <sz val="12"/>
        <color rgb="FFFFFFFF"/>
        <rFont val="Arial"/>
        <family val="0"/>
        <charset val="1"/>
      </rPr>
      <t xml:space="preserve">T1 </t>
    </r>
    <r>
      <rPr>
        <b val="true"/>
        <sz val="12"/>
        <color rgb="FFFFFFFF"/>
        <rFont val="Noto Sans CJK KR"/>
        <family val="2"/>
      </rPr>
      <t xml:space="preserve">오너수익 </t>
    </r>
    <r>
      <rPr>
        <b val="true"/>
        <sz val="12"/>
        <color rgb="FFFFFFFF"/>
        <rFont val="Arial"/>
        <family val="0"/>
        <charset val="1"/>
      </rPr>
      <t xml:space="preserve">(₩)</t>
    </r>
  </si>
  <si>
    <r>
      <rPr>
        <b val="true"/>
        <sz val="12"/>
        <color rgb="FFFFFFFF"/>
        <rFont val="Arial"/>
        <family val="0"/>
        <charset val="1"/>
      </rPr>
      <t xml:space="preserve">T2 OTO</t>
    </r>
    <r>
      <rPr>
        <b val="true"/>
        <sz val="12"/>
        <color rgb="FFFFFFFF"/>
        <rFont val="Noto Sans CJK KR"/>
        <family val="2"/>
      </rPr>
      <t xml:space="preserve">건수</t>
    </r>
  </si>
  <si>
    <r>
      <rPr>
        <b val="true"/>
        <sz val="12"/>
        <color rgb="FFFFFFFF"/>
        <rFont val="Arial"/>
        <family val="0"/>
        <charset val="1"/>
      </rPr>
      <t xml:space="preserve">T2 </t>
    </r>
    <r>
      <rPr>
        <b val="true"/>
        <sz val="12"/>
        <color rgb="FFFFFFFF"/>
        <rFont val="Noto Sans CJK KR"/>
        <family val="2"/>
      </rPr>
      <t xml:space="preserve">오너수익 </t>
    </r>
    <r>
      <rPr>
        <b val="true"/>
        <sz val="12"/>
        <color rgb="FFFFFFFF"/>
        <rFont val="Arial"/>
        <family val="0"/>
        <charset val="1"/>
      </rPr>
      <t xml:space="preserve">($)</t>
    </r>
  </si>
  <si>
    <r>
      <rPr>
        <b val="true"/>
        <sz val="12"/>
        <color rgb="FFFFFFFF"/>
        <rFont val="Arial"/>
        <family val="0"/>
        <charset val="1"/>
      </rPr>
      <t xml:space="preserve">T2 </t>
    </r>
    <r>
      <rPr>
        <b val="true"/>
        <sz val="12"/>
        <color rgb="FFFFFFFF"/>
        <rFont val="Noto Sans CJK KR"/>
        <family val="2"/>
      </rPr>
      <t xml:space="preserve">오너수익 </t>
    </r>
    <r>
      <rPr>
        <b val="true"/>
        <sz val="12"/>
        <color rgb="FFFFFFFF"/>
        <rFont val="Arial"/>
        <family val="0"/>
        <charset val="1"/>
      </rPr>
      <t xml:space="preserve">(₩)</t>
    </r>
  </si>
  <si>
    <r>
      <rPr>
        <b val="true"/>
        <sz val="12"/>
        <color rgb="FFFFFFFF"/>
        <rFont val="Arial"/>
        <family val="0"/>
        <charset val="1"/>
      </rPr>
      <t xml:space="preserve">T3 </t>
    </r>
    <r>
      <rPr>
        <b val="true"/>
        <sz val="12"/>
        <color rgb="FFFFFFFF"/>
        <rFont val="Noto Sans CJK KR"/>
        <family val="2"/>
      </rPr>
      <t xml:space="preserve">이메일건수</t>
    </r>
  </si>
  <si>
    <r>
      <rPr>
        <b val="true"/>
        <sz val="12"/>
        <color rgb="FFFFFFFF"/>
        <rFont val="Arial"/>
        <family val="0"/>
        <charset val="1"/>
      </rPr>
      <t xml:space="preserve">T3 </t>
    </r>
    <r>
      <rPr>
        <b val="true"/>
        <sz val="12"/>
        <color rgb="FFFFFFFF"/>
        <rFont val="Noto Sans CJK KR"/>
        <family val="2"/>
      </rPr>
      <t xml:space="preserve">오너수익 </t>
    </r>
    <r>
      <rPr>
        <b val="true"/>
        <sz val="12"/>
        <color rgb="FFFFFFFF"/>
        <rFont val="Arial"/>
        <family val="0"/>
        <charset val="1"/>
      </rPr>
      <t xml:space="preserve">($)</t>
    </r>
  </si>
  <si>
    <r>
      <rPr>
        <b val="true"/>
        <sz val="12"/>
        <color rgb="FFFFFFFF"/>
        <rFont val="Arial"/>
        <family val="0"/>
        <charset val="1"/>
      </rPr>
      <t xml:space="preserve">T3 </t>
    </r>
    <r>
      <rPr>
        <b val="true"/>
        <sz val="12"/>
        <color rgb="FFFFFFFF"/>
        <rFont val="Noto Sans CJK KR"/>
        <family val="2"/>
      </rPr>
      <t xml:space="preserve">오너수익 </t>
    </r>
    <r>
      <rPr>
        <b val="true"/>
        <sz val="12"/>
        <color rgb="FFFFFFFF"/>
        <rFont val="Arial"/>
        <family val="0"/>
        <charset val="1"/>
      </rPr>
      <t xml:space="preserve">(₩)</t>
    </r>
  </si>
  <si>
    <t xml:space="preserve">그룹 합계 (₩)</t>
  </si>
  <si>
    <t xml:space="preserve">🔥 상위 파트너 20명</t>
  </si>
  <si>
    <t xml:space="preserve">📌 중간 파트너 30명</t>
  </si>
  <si>
    <t xml:space="preserve">😴 하위 파트너 50명</t>
  </si>
  <si>
    <t xml:space="preserve">📊 전체 합계 (100명)</t>
  </si>
  <si>
    <t xml:space="preserve">🔍 파레토 비율 검증 — 상위 20명이 몇 %를 차지하는가?</t>
  </si>
  <si>
    <t xml:space="preserve">상위 20명 (₩)</t>
  </si>
  <si>
    <t xml:space="preserve">중간 30명 (₩)</t>
  </si>
  <si>
    <t xml:space="preserve">하위 50명 (₩)</t>
  </si>
  <si>
    <t xml:space="preserve">전체 합계 (₩)</t>
  </si>
  <si>
    <t xml:space="preserve">상위 20명 비중 (%)</t>
  </si>
  <si>
    <t xml:space="preserve">검증</t>
  </si>
  <si>
    <t xml:space="preserve">월 수익 합계</t>
  </si>
  <si>
    <t xml:space="preserve">💡 인사이트: 하위 50명은 사실상 "자동 수익기계" — 관리 코스트 0에 가깝고, 상위 20명에게만 집중 투자하면 됩니다.
   → 상위 파트너에게: 전용 프로모 자료, 우선 CS 지원, 보너스 인센티브 제공
   → 하위 파트너에게: 자동화 FAQ + 핫마트 대시보드로 방치 가능 (플랫폼이 대신 관리)</t>
  </si>
  <si>
    <r>
      <rPr>
        <b val="true"/>
        <sz val="13"/>
        <color rgb="FFFFFFFF"/>
        <rFont val="Arial"/>
        <family val="0"/>
        <charset val="1"/>
      </rPr>
      <t xml:space="preserve">📈 12</t>
    </r>
    <r>
      <rPr>
        <b val="true"/>
        <sz val="13"/>
        <color rgb="FFFFFFFF"/>
        <rFont val="Noto Sans CJK KR"/>
        <family val="2"/>
      </rPr>
      <t xml:space="preserve">개월 파트너 성장 시뮬레이션 — 파레토 법칙 </t>
    </r>
    <r>
      <rPr>
        <b val="true"/>
        <sz val="13"/>
        <color rgb="FFFFFFFF"/>
        <rFont val="Arial"/>
        <family val="0"/>
        <charset val="1"/>
      </rPr>
      <t xml:space="preserve">+ </t>
    </r>
    <r>
      <rPr>
        <b val="true"/>
        <sz val="13"/>
        <color rgb="FFFFFFFF"/>
        <rFont val="Noto Sans CJK KR"/>
        <family val="2"/>
      </rPr>
      <t xml:space="preserve">월별 누적</t>
    </r>
  </si>
  <si>
    <t xml:space="preserve">파트너 증가 시나리오별 오너 월 수익(₩) 및 누적 수익(₩) 추적</t>
  </si>
  <si>
    <t xml:space="preserve">⚙️ 성장 가정: 매월 파트너 X명 추가 → 파레토 비율 유지 (상위20% / 중위30% / 하위50%)</t>
  </si>
  <si>
    <t xml:space="preserve">🐢 보수적 시나리오 — 월 +2명 추가</t>
  </si>
  <si>
    <r>
      <rPr>
        <b val="true"/>
        <sz val="12"/>
        <color rgb="FFFFFFFF"/>
        <rFont val="Arial"/>
        <family val="0"/>
        <charset val="1"/>
      </rPr>
      <t xml:space="preserve">1</t>
    </r>
    <r>
      <rPr>
        <b val="true"/>
        <sz val="12"/>
        <color rgb="FFFFFFFF"/>
        <rFont val="Noto Sans CJK KR"/>
        <family val="2"/>
      </rPr>
      <t xml:space="preserve">월</t>
    </r>
  </si>
  <si>
    <r>
      <rPr>
        <b val="true"/>
        <sz val="12"/>
        <color rgb="FFFFFFFF"/>
        <rFont val="Arial"/>
        <family val="0"/>
        <charset val="1"/>
      </rPr>
      <t xml:space="preserve">2</t>
    </r>
    <r>
      <rPr>
        <b val="true"/>
        <sz val="12"/>
        <color rgb="FFFFFFFF"/>
        <rFont val="Noto Sans CJK KR"/>
        <family val="2"/>
      </rPr>
      <t xml:space="preserve">월</t>
    </r>
  </si>
  <si>
    <r>
      <rPr>
        <b val="true"/>
        <sz val="12"/>
        <color rgb="FFFFFFFF"/>
        <rFont val="Arial"/>
        <family val="0"/>
        <charset val="1"/>
      </rPr>
      <t xml:space="preserve">3</t>
    </r>
    <r>
      <rPr>
        <b val="true"/>
        <sz val="12"/>
        <color rgb="FFFFFFFF"/>
        <rFont val="Noto Sans CJK KR"/>
        <family val="2"/>
      </rPr>
      <t xml:space="preserve">월</t>
    </r>
  </si>
  <si>
    <r>
      <rPr>
        <b val="true"/>
        <sz val="12"/>
        <color rgb="FFFFFFFF"/>
        <rFont val="Arial"/>
        <family val="0"/>
        <charset val="1"/>
      </rPr>
      <t xml:space="preserve">4</t>
    </r>
    <r>
      <rPr>
        <b val="true"/>
        <sz val="12"/>
        <color rgb="FFFFFFFF"/>
        <rFont val="Noto Sans CJK KR"/>
        <family val="2"/>
      </rPr>
      <t xml:space="preserve">월</t>
    </r>
  </si>
  <si>
    <r>
      <rPr>
        <b val="true"/>
        <sz val="12"/>
        <color rgb="FFFFFFFF"/>
        <rFont val="Arial"/>
        <family val="0"/>
        <charset val="1"/>
      </rPr>
      <t xml:space="preserve">5</t>
    </r>
    <r>
      <rPr>
        <b val="true"/>
        <sz val="12"/>
        <color rgb="FFFFFFFF"/>
        <rFont val="Noto Sans CJK KR"/>
        <family val="2"/>
      </rPr>
      <t xml:space="preserve">월</t>
    </r>
  </si>
  <si>
    <r>
      <rPr>
        <b val="true"/>
        <sz val="12"/>
        <color rgb="FFFFFFFF"/>
        <rFont val="Arial"/>
        <family val="0"/>
        <charset val="1"/>
      </rPr>
      <t xml:space="preserve">6</t>
    </r>
    <r>
      <rPr>
        <b val="true"/>
        <sz val="12"/>
        <color rgb="FFFFFFFF"/>
        <rFont val="Noto Sans CJK KR"/>
        <family val="2"/>
      </rPr>
      <t xml:space="preserve">월</t>
    </r>
  </si>
  <si>
    <r>
      <rPr>
        <b val="true"/>
        <sz val="12"/>
        <color rgb="FFFFFFFF"/>
        <rFont val="Arial"/>
        <family val="0"/>
        <charset val="1"/>
      </rPr>
      <t xml:space="preserve">7</t>
    </r>
    <r>
      <rPr>
        <b val="true"/>
        <sz val="12"/>
        <color rgb="FFFFFFFF"/>
        <rFont val="Noto Sans CJK KR"/>
        <family val="2"/>
      </rPr>
      <t xml:space="preserve">월</t>
    </r>
  </si>
  <si>
    <r>
      <rPr>
        <b val="true"/>
        <sz val="12"/>
        <color rgb="FFFFFFFF"/>
        <rFont val="Arial"/>
        <family val="0"/>
        <charset val="1"/>
      </rPr>
      <t xml:space="preserve">8</t>
    </r>
    <r>
      <rPr>
        <b val="true"/>
        <sz val="12"/>
        <color rgb="FFFFFFFF"/>
        <rFont val="Noto Sans CJK KR"/>
        <family val="2"/>
      </rPr>
      <t xml:space="preserve">월</t>
    </r>
  </si>
  <si>
    <r>
      <rPr>
        <b val="true"/>
        <sz val="12"/>
        <color rgb="FFFFFFFF"/>
        <rFont val="Arial"/>
        <family val="0"/>
        <charset val="1"/>
      </rPr>
      <t xml:space="preserve">9</t>
    </r>
    <r>
      <rPr>
        <b val="true"/>
        <sz val="12"/>
        <color rgb="FFFFFFFF"/>
        <rFont val="Noto Sans CJK KR"/>
        <family val="2"/>
      </rPr>
      <t xml:space="preserve">월</t>
    </r>
  </si>
  <si>
    <r>
      <rPr>
        <b val="true"/>
        <sz val="12"/>
        <color rgb="FFFFFFFF"/>
        <rFont val="Arial"/>
        <family val="0"/>
        <charset val="1"/>
      </rPr>
      <t xml:space="preserve">10</t>
    </r>
    <r>
      <rPr>
        <b val="true"/>
        <sz val="12"/>
        <color rgb="FFFFFFFF"/>
        <rFont val="Noto Sans CJK KR"/>
        <family val="2"/>
      </rPr>
      <t xml:space="preserve">월</t>
    </r>
  </si>
  <si>
    <r>
      <rPr>
        <b val="true"/>
        <sz val="12"/>
        <color rgb="FFFFFFFF"/>
        <rFont val="Arial"/>
        <family val="0"/>
        <charset val="1"/>
      </rPr>
      <t xml:space="preserve">11</t>
    </r>
    <r>
      <rPr>
        <b val="true"/>
        <sz val="12"/>
        <color rgb="FFFFFFFF"/>
        <rFont val="Noto Sans CJK KR"/>
        <family val="2"/>
      </rPr>
      <t xml:space="preserve">월</t>
    </r>
  </si>
  <si>
    <r>
      <rPr>
        <b val="true"/>
        <sz val="12"/>
        <color rgb="FFFFFFFF"/>
        <rFont val="Arial"/>
        <family val="0"/>
        <charset val="1"/>
      </rPr>
      <t xml:space="preserve">12</t>
    </r>
    <r>
      <rPr>
        <b val="true"/>
        <sz val="12"/>
        <color rgb="FFFFFFFF"/>
        <rFont val="Noto Sans CJK KR"/>
        <family val="2"/>
      </rPr>
      <t xml:space="preserve">월</t>
    </r>
  </si>
  <si>
    <t xml:space="preserve">연간합계</t>
  </si>
  <si>
    <t xml:space="preserve">상위 파트너 수 (20%, 명)</t>
  </si>
  <si>
    <t xml:space="preserve">월 오너수익 — 상위파트너 기여 (₩)</t>
  </si>
  <si>
    <t xml:space="preserve">월 오너수익 — 중하위파트너 기여 (₩)</t>
  </si>
  <si>
    <t xml:space="preserve">💰 월 오너 총수익 (₩)</t>
  </si>
  <si>
    <t xml:space="preserve">📊 누적 오너 수익 (₩)</t>
  </si>
  <si>
    <t xml:space="preserve">🚀 기본 시나리오 — 월 +5명 추가</t>
  </si>
  <si>
    <t xml:space="preserve">💥 공격적 시나리오 — 월 +10명 추가</t>
  </si>
  <si>
    <t xml:space="preserve">🌋 폭발적 시나리오 — 월 +20명 추가</t>
  </si>
  <si>
    <t xml:space="preserve">🎯 파레토 파트너 집중 전략 — 상위 20명 ROI 극대화 로드맵</t>
  </si>
  <si>
    <r>
      <rPr>
        <i val="true"/>
        <sz val="10"/>
        <color rgb="FFFFFFFF"/>
        <rFont val="Arial"/>
        <family val="0"/>
        <charset val="1"/>
      </rPr>
      <t xml:space="preserve">"100</t>
    </r>
    <r>
      <rPr>
        <i val="true"/>
        <sz val="10"/>
        <color rgb="FFFFFFFF"/>
        <rFont val="Noto Sans CJK KR"/>
        <family val="2"/>
      </rPr>
      <t xml:space="preserve">명 운영</t>
    </r>
    <r>
      <rPr>
        <i val="true"/>
        <sz val="10"/>
        <color rgb="FFFFFFFF"/>
        <rFont val="Arial"/>
        <family val="0"/>
        <charset val="1"/>
      </rPr>
      <t xml:space="preserve">, 20</t>
    </r>
    <r>
      <rPr>
        <i val="true"/>
        <sz val="10"/>
        <color rgb="FFFFFFFF"/>
        <rFont val="Noto Sans CJK KR"/>
        <family val="2"/>
      </rPr>
      <t xml:space="preserve">명에게 집중</t>
    </r>
    <r>
      <rPr>
        <i val="true"/>
        <sz val="10"/>
        <color rgb="FFFFFFFF"/>
        <rFont val="Arial"/>
        <family val="0"/>
        <charset val="1"/>
      </rPr>
      <t xml:space="preserve">, 80%</t>
    </r>
    <r>
      <rPr>
        <i val="true"/>
        <sz val="10"/>
        <color rgb="FFFFFFFF"/>
        <rFont val="Noto Sans CJK KR"/>
        <family val="2"/>
      </rPr>
      <t xml:space="preserve">의 수익을 만든다</t>
    </r>
    <r>
      <rPr>
        <i val="true"/>
        <sz val="10"/>
        <color rgb="FFFFFFFF"/>
        <rFont val="Arial"/>
        <family val="0"/>
        <charset val="1"/>
      </rPr>
      <t xml:space="preserve">" — </t>
    </r>
    <r>
      <rPr>
        <i val="true"/>
        <sz val="10"/>
        <color rgb="FFFFFFFF"/>
        <rFont val="Noto Sans CJK KR"/>
        <family val="2"/>
      </rPr>
      <t xml:space="preserve">파트너 관리 효율화 전략</t>
    </r>
  </si>
  <si>
    <t xml:space="preserve">📋 파트너 등급별 관리 전략</t>
  </si>
  <si>
    <t xml:space="preserve">등급</t>
  </si>
  <si>
    <t xml:space="preserve">대상</t>
  </si>
  <si>
    <t xml:space="preserve">월 수익 기여</t>
  </si>
  <si>
    <t xml:space="preserve">관리 투자</t>
  </si>
  <si>
    <t xml:space="preserve">제공 혜택</t>
  </si>
  <si>
    <t xml:space="preserve">관리 방식</t>
  </si>
  <si>
    <r>
      <rPr>
        <b val="true"/>
        <sz val="11"/>
        <color rgb="FF000000"/>
        <rFont val="Arial"/>
        <family val="0"/>
        <charset val="1"/>
      </rPr>
      <t xml:space="preserve">🏆 VIP </t>
    </r>
    <r>
      <rPr>
        <b val="true"/>
        <sz val="11"/>
        <color rgb="FF000000"/>
        <rFont val="Noto Sans CJK KR"/>
        <family val="2"/>
      </rPr>
      <t xml:space="preserve">파트너</t>
    </r>
  </si>
  <si>
    <t xml:space="preserve">상위 5명 (5%)</t>
  </si>
  <si>
    <t xml:space="preserve">전체 수익의 ~50%</t>
  </si>
  <si>
    <t xml:space="preserve">주 2-3시간</t>
  </si>
  <si>
    <t xml:space="preserve">전용 1:1 지원, 독점 프로모 자료, 보너스 인센티브</t>
  </si>
  <si>
    <t xml:space="preserve">주간 체크인 DM, 우선 피드백 반영</t>
  </si>
  <si>
    <t xml:space="preserve">🔥 핵심 파트너</t>
  </si>
  <si>
    <t xml:space="preserve">상위 20명 (20%)</t>
  </si>
  <si>
    <t xml:space="preserve">전체 수익의 ~80%</t>
  </si>
  <si>
    <t xml:space="preserve">주 1-2시간</t>
  </si>
  <si>
    <t xml:space="preserve">전용 텔레그램 채널, 신제품 선공개, 커미션 보너스</t>
  </si>
  <si>
    <t xml:space="preserve">그룹 채널 운영, 월간 성과 리뷰</t>
  </si>
  <si>
    <t xml:space="preserve">📌 성장 파트너</t>
  </si>
  <si>
    <t xml:space="preserve">중간 30명 (30%)</t>
  </si>
  <si>
    <t xml:space="preserve">전체 수익의 ~15%</t>
  </si>
  <si>
    <t xml:space="preserve">월 1-2시간</t>
  </si>
  <si>
    <r>
      <rPr>
        <sz val="11"/>
        <color rgb="FF000000"/>
        <rFont val="Arial"/>
        <family val="0"/>
        <charset val="1"/>
      </rPr>
      <t xml:space="preserve">FAQ </t>
    </r>
    <r>
      <rPr>
        <sz val="11"/>
        <color rgb="FF000000"/>
        <rFont val="Noto Sans CJK KR"/>
        <family val="2"/>
      </rPr>
      <t xml:space="preserve">문서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KR"/>
        <family val="2"/>
      </rPr>
      <t xml:space="preserve">기본 프로모 키트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KR"/>
        <family val="2"/>
      </rPr>
      <t xml:space="preserve">핫마트 대시보드</t>
    </r>
  </si>
  <si>
    <t xml:space="preserve">월 1회 뉴스레터, 자동 FAQ 응대</t>
  </si>
  <si>
    <t xml:space="preserve">😴 패시브 파트너</t>
  </si>
  <si>
    <t xml:space="preserve">하위 50명 (50%)</t>
  </si>
  <si>
    <t xml:space="preserve">전체 수익의 ~5%</t>
  </si>
  <si>
    <r>
      <rPr>
        <sz val="11"/>
        <color rgb="FF000000"/>
        <rFont val="Arial"/>
        <family val="0"/>
        <charset val="1"/>
      </rPr>
      <t xml:space="preserve">0 (</t>
    </r>
    <r>
      <rPr>
        <sz val="11"/>
        <color rgb="FF000000"/>
        <rFont val="Noto Sans CJK KR"/>
        <family val="2"/>
      </rPr>
      <t xml:space="preserve">완전 자동화</t>
    </r>
    <r>
      <rPr>
        <sz val="11"/>
        <color rgb="FF000000"/>
        <rFont val="Arial"/>
        <family val="0"/>
        <charset val="1"/>
      </rPr>
      <t xml:space="preserve">)</t>
    </r>
  </si>
  <si>
    <t xml:space="preserve">핫마트 자동 정산, 기본 랜딩 링크</t>
  </si>
  <si>
    <t xml:space="preserve">핫마트 플랫폼이 모든 CS 처리 (방치 가능)</t>
  </si>
  <si>
    <t xml:space="preserve">🔑 상위 파트너 발굴 기준 — 처음 3개월이 핵심</t>
  </si>
  <si>
    <t xml:space="preserve">발굴 기준</t>
  </si>
  <si>
    <t xml:space="preserve">측정 방법</t>
  </si>
  <si>
    <t xml:space="preserve">목표치</t>
  </si>
  <si>
    <t xml:space="preserve">액션</t>
  </si>
  <si>
    <t xml:space="preserve">첫 달 판매 10건 이상</t>
  </si>
  <si>
    <t xml:space="preserve">핫마트 파트너 대시보드</t>
  </si>
  <si>
    <t xml:space="preserve">월 10건+</t>
  </si>
  <si>
    <r>
      <rPr>
        <sz val="11"/>
        <color rgb="FF000000"/>
        <rFont val="Arial"/>
        <family val="0"/>
        <charset val="1"/>
      </rPr>
      <t xml:space="preserve">VIP </t>
    </r>
    <r>
      <rPr>
        <sz val="11"/>
        <color rgb="FF000000"/>
        <rFont val="Noto Sans CJK KR"/>
        <family val="2"/>
      </rPr>
      <t xml:space="preserve">후보 목록에 즉시 추가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KR"/>
        <family val="2"/>
      </rPr>
      <t xml:space="preserve">축하 </t>
    </r>
    <r>
      <rPr>
        <sz val="11"/>
        <color rgb="FF000000"/>
        <rFont val="Arial"/>
        <family val="0"/>
        <charset val="1"/>
      </rPr>
      <t xml:space="preserve">DM </t>
    </r>
    <r>
      <rPr>
        <sz val="11"/>
        <color rgb="FF000000"/>
        <rFont val="Noto Sans CJK KR"/>
        <family val="2"/>
      </rPr>
      <t xml:space="preserve">발송</t>
    </r>
  </si>
  <si>
    <r>
      <rPr>
        <sz val="11"/>
        <color rgb="FF000000"/>
        <rFont val="Arial"/>
        <family val="0"/>
        <charset val="1"/>
      </rPr>
      <t xml:space="preserve">SNS </t>
    </r>
    <r>
      <rPr>
        <sz val="11"/>
        <color rgb="FF000000"/>
        <rFont val="Noto Sans CJK KR"/>
        <family val="2"/>
      </rPr>
      <t xml:space="preserve">팔로워 </t>
    </r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KR"/>
        <family val="2"/>
      </rPr>
      <t xml:space="preserve">만명 이상</t>
    </r>
  </si>
  <si>
    <t xml:space="preserve">인스타/틱톡 프로필 확인</t>
  </si>
  <si>
    <r>
      <rPr>
        <sz val="11"/>
        <color rgb="FF000000"/>
        <rFont val="Arial"/>
        <family val="0"/>
        <charset val="1"/>
      </rPr>
      <t xml:space="preserve">10K+ </t>
    </r>
    <r>
      <rPr>
        <sz val="11"/>
        <color rgb="FF000000"/>
        <rFont val="Noto Sans CJK KR"/>
        <family val="2"/>
      </rPr>
      <t xml:space="preserve">팔로워</t>
    </r>
  </si>
  <si>
    <t xml:space="preserve">리포트 무료 제공 + 독점 할인 코드 부여</t>
  </si>
  <si>
    <t xml:space="preserve">커플/연애 니치 콘텐츠</t>
  </si>
  <si>
    <t xml:space="preserve">콘텐츠 분야 확인</t>
  </si>
  <si>
    <t xml:space="preserve">타겟 적합도 80%+</t>
  </si>
  <si>
    <t xml:space="preserve">맞춤형 프로모 자료 제작 지원</t>
  </si>
  <si>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Noto Sans CJK KR"/>
        <family val="2"/>
      </rPr>
      <t xml:space="preserve">개월 내 재활성화 의향</t>
    </r>
  </si>
  <si>
    <t xml:space="preserve">이메일 재접촉 반응률</t>
  </si>
  <si>
    <r>
      <rPr>
        <sz val="11"/>
        <color rgb="FF000000"/>
        <rFont val="Arial"/>
        <family val="0"/>
        <charset val="1"/>
      </rPr>
      <t xml:space="preserve">30%+ </t>
    </r>
    <r>
      <rPr>
        <sz val="11"/>
        <color rgb="FF000000"/>
        <rFont val="Noto Sans CJK KR"/>
        <family val="2"/>
      </rPr>
      <t xml:space="preserve">응답률</t>
    </r>
  </si>
  <si>
    <t xml:space="preserve">리인게이지먼트 캠페인 자동화</t>
  </si>
  <si>
    <t xml:space="preserve">🎯 핵심 전략 요약
파트너 100명 중 실제로 관리가 필요한 건 상위 20명뿐입니다. 나머지 80명은 핫마트 플랫폼이 자동으로 정산/CS 처리합니다.
→ 오너의 시간 = 상위 20명 × 집중 투자. 하위 80명 = 완전 자동화. 이것이 Shadowgram 파트너 운영의 핵심입니다.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</si>
</sst>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0.0%"/>
    <numFmt numFmtId="167" formatCode="0%"/>
    <numFmt numFmtId="168" formatCode="#,##0\원"/>
    <numFmt numFmtId="169" formatCode="#,##0"/>
    <numFmt numFmtId="170" formatCode="#,##0&quot;시간&quot;"/>
    <numFmt numFmtId="171" formatCode="\$#,##0"/>
    <numFmt numFmtId="172" formatCode="#,##0\명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KR"/>
      <family val="2"/>
    </font>
    <font>
      <i val="true"/>
      <sz val="10"/>
      <color rgb="FFFFFFFF"/>
      <name val="Noto Sans CJK KR"/>
      <family val="2"/>
      <charset val="1"/>
    </font>
    <font>
      <b val="true"/>
      <sz val="11"/>
      <color rgb="FFFFFFFF"/>
      <name val="Noto Sans CJK KR"/>
      <family val="2"/>
      <charset val="1"/>
    </font>
    <font>
      <b val="true"/>
      <sz val="12"/>
      <color rgb="FFFFFFFF"/>
      <name val="Noto Sans CJK KR"/>
      <family val="2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Noto Sans CJK KR"/>
      <family val="2"/>
    </font>
    <font>
      <sz val="11"/>
      <color rgb="FF000000"/>
      <name val="Arial"/>
      <family val="0"/>
      <charset val="1"/>
    </font>
    <font>
      <sz val="11"/>
      <color rgb="FF000000"/>
      <name val="Noto Sans CJK KR"/>
      <family val="2"/>
    </font>
    <font>
      <sz val="11"/>
      <color rgb="FF0000FF"/>
      <name val="Arial"/>
      <family val="0"/>
      <charset val="1"/>
    </font>
    <font>
      <sz val="11"/>
      <color rgb="FF000000"/>
      <name val="Noto Sans CJK KR"/>
      <family val="2"/>
      <charset val="1"/>
    </font>
    <font>
      <b val="true"/>
      <sz val="13"/>
      <color rgb="FFFFFFFF"/>
      <name val="Noto Sans CJK KR"/>
      <family val="2"/>
      <charset val="1"/>
    </font>
    <font>
      <b val="true"/>
      <sz val="11"/>
      <color rgb="FFFFFFFF"/>
      <name val="Arial"/>
      <family val="0"/>
      <charset val="1"/>
    </font>
    <font>
      <sz val="10"/>
      <color rgb="FF1F4E79"/>
      <name val="Noto Sans CJK KR"/>
      <family val="2"/>
      <charset val="1"/>
    </font>
    <font>
      <i val="true"/>
      <sz val="10"/>
      <color rgb="FFFFFFFF"/>
      <name val="Arial"/>
      <family val="0"/>
      <charset val="1"/>
    </font>
    <font>
      <i val="true"/>
      <sz val="10"/>
      <color rgb="FFFFFFFF"/>
      <name val="Noto Sans CJK KR"/>
      <family val="2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Noto Sans CJK KR"/>
      <family val="2"/>
    </font>
    <font>
      <b val="true"/>
      <sz val="11"/>
      <color rgb="FF000000"/>
      <name val="Noto Sans CJK KR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305496"/>
      </patternFill>
    </fill>
    <fill>
      <patternFill patternType="solid">
        <fgColor rgb="FF2E75B6"/>
        <bgColor rgb="FF305496"/>
      </patternFill>
    </fill>
    <fill>
      <patternFill patternType="solid">
        <fgColor rgb="FFE2EFDA"/>
        <bgColor rgb="FFDEEAF1"/>
      </patternFill>
    </fill>
    <fill>
      <patternFill patternType="solid">
        <fgColor rgb="FFEBF3FB"/>
        <bgColor rgb="FFDDEEFF"/>
      </patternFill>
    </fill>
    <fill>
      <patternFill patternType="solid">
        <fgColor rgb="FFDDEEFF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6DCE4"/>
        <bgColor rgb="FFDEEAF1"/>
      </patternFill>
    </fill>
    <fill>
      <patternFill patternType="solid">
        <fgColor rgb="FFDEEAF1"/>
        <bgColor rgb="FFDDEEFF"/>
      </patternFill>
    </fill>
    <fill>
      <patternFill patternType="solid">
        <fgColor rgb="FFC55A11"/>
        <bgColor rgb="FF993300"/>
      </patternFill>
    </fill>
    <fill>
      <patternFill patternType="solid">
        <fgColor rgb="FF305496"/>
        <bgColor rgb="FF1F4E79"/>
      </patternFill>
    </fill>
    <fill>
      <patternFill patternType="solid">
        <fgColor rgb="FF404040"/>
        <bgColor rgb="FF333300"/>
      </patternFill>
    </fill>
    <fill>
      <patternFill patternType="solid">
        <fgColor rgb="FFFFD966"/>
        <bgColor rgb="FFFFCC00"/>
      </patternFill>
    </fill>
    <fill>
      <patternFill patternType="solid">
        <fgColor rgb="FFFFFFFF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CE4D6"/>
      <rgbColor rgb="FFDEEAF1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30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8" min="6" style="1" width="20"/>
  </cols>
  <sheetData>
    <row r="1" customFormat="false" ht="31.5" hidden="false" customHeight="true" outlineLevel="0" collapsed="false">
      <c r="B1" s="2" t="s">
        <v>0</v>
      </c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B2" s="3" t="s">
        <v>1</v>
      </c>
      <c r="C2" s="3"/>
      <c r="D2" s="3"/>
      <c r="E2" s="3"/>
      <c r="F2" s="3"/>
      <c r="G2" s="3"/>
      <c r="H2" s="3"/>
    </row>
    <row r="3" customFormat="false" ht="7.5" hidden="false" customHeight="true" outlineLevel="0" collapsed="false"/>
    <row r="4" customFormat="false" ht="16.5" hidden="false" customHeight="true" outlineLevel="0" collapsed="false">
      <c r="B4" s="4" t="s">
        <v>2</v>
      </c>
      <c r="C4" s="4"/>
      <c r="D4" s="4"/>
      <c r="E4" s="4"/>
      <c r="F4" s="4"/>
      <c r="G4" s="4"/>
      <c r="H4" s="4"/>
    </row>
    <row r="5" customFormat="false" ht="18.75" hidden="false" customHeight="true" outlineLevel="0" collapsed="false">
      <c r="B5" s="5" t="s">
        <v>3</v>
      </c>
      <c r="C5" s="5" t="s">
        <v>4</v>
      </c>
      <c r="D5" s="6" t="s">
        <v>5</v>
      </c>
      <c r="E5" s="5" t="s">
        <v>6</v>
      </c>
      <c r="F5" s="5" t="s">
        <v>7</v>
      </c>
      <c r="G5" s="5" t="s">
        <v>8</v>
      </c>
      <c r="H5" s="5" t="s">
        <v>9</v>
      </c>
    </row>
    <row r="6" customFormat="false" ht="16.5" hidden="false" customHeight="true" outlineLevel="0" collapsed="false">
      <c r="B6" s="7" t="s">
        <v>10</v>
      </c>
      <c r="C6" s="8" t="n">
        <v>12.8</v>
      </c>
      <c r="D6" s="9" t="n">
        <v>0.099</v>
      </c>
      <c r="E6" s="10" t="n">
        <v>0.7</v>
      </c>
      <c r="F6" s="11" t="n">
        <f aca="false">C6*E6</f>
        <v>8.96</v>
      </c>
      <c r="G6" s="11" t="n">
        <f aca="false">C6*(1-D6-E6)</f>
        <v>2.5728</v>
      </c>
      <c r="H6" s="12" t="n">
        <f aca="false">G6*C24</f>
        <v>3601.92</v>
      </c>
    </row>
    <row r="7" customFormat="false" ht="16.5" hidden="false" customHeight="true" outlineLevel="0" collapsed="false">
      <c r="B7" s="13" t="s">
        <v>11</v>
      </c>
      <c r="C7" s="8" t="n">
        <v>19.9</v>
      </c>
      <c r="D7" s="9" t="n">
        <v>0.099</v>
      </c>
      <c r="E7" s="10" t="n">
        <v>0.5</v>
      </c>
      <c r="F7" s="11" t="n">
        <f aca="false">C7*E7</f>
        <v>9.95</v>
      </c>
      <c r="G7" s="11" t="n">
        <f aca="false">C7*(1-D7-E7)</f>
        <v>7.9799</v>
      </c>
      <c r="H7" s="12" t="n">
        <f aca="false">G7*C24</f>
        <v>11171.86</v>
      </c>
    </row>
    <row r="8" customFormat="false" ht="16.5" hidden="false" customHeight="true" outlineLevel="0" collapsed="false">
      <c r="B8" s="14" t="s">
        <v>12</v>
      </c>
      <c r="C8" s="8" t="n">
        <v>28.9</v>
      </c>
      <c r="D8" s="9" t="n">
        <v>0.099</v>
      </c>
      <c r="E8" s="10" t="n">
        <v>0.4</v>
      </c>
      <c r="F8" s="11" t="n">
        <f aca="false">C8*E8</f>
        <v>11.56</v>
      </c>
      <c r="G8" s="11" t="n">
        <f aca="false">C8*(1-D8-E8)</f>
        <v>14.4789</v>
      </c>
      <c r="H8" s="12" t="n">
        <f aca="false">G8*C24</f>
        <v>20270.46</v>
      </c>
    </row>
    <row r="9" customFormat="false" ht="7.5" hidden="false" customHeight="true" outlineLevel="0" collapsed="false"/>
    <row r="10" customFormat="false" ht="16.5" hidden="false" customHeight="true" outlineLevel="0" collapsed="false">
      <c r="B10" s="4" t="s">
        <v>13</v>
      </c>
      <c r="C10" s="4"/>
      <c r="D10" s="4"/>
      <c r="E10" s="4"/>
      <c r="F10" s="4"/>
      <c r="G10" s="4"/>
      <c r="H10" s="4"/>
    </row>
    <row r="11" customFormat="false" ht="16.5" hidden="false" customHeight="true" outlineLevel="0" collapsed="false">
      <c r="B11" s="15" t="s">
        <v>14</v>
      </c>
      <c r="C11" s="16" t="n">
        <v>100</v>
      </c>
      <c r="D11" s="15" t="s">
        <v>15</v>
      </c>
    </row>
    <row r="12" customFormat="false" ht="16.5" hidden="false" customHeight="true" outlineLevel="0" collapsed="false">
      <c r="B12" s="15" t="s">
        <v>16</v>
      </c>
      <c r="C12" s="17" t="n">
        <v>0.2</v>
      </c>
      <c r="D12" s="15"/>
    </row>
    <row r="13" customFormat="false" ht="16.5" hidden="false" customHeight="true" outlineLevel="0" collapsed="false">
      <c r="B13" s="15" t="s">
        <v>17</v>
      </c>
      <c r="C13" s="18" t="n">
        <f aca="false">C11*C12</f>
        <v>20</v>
      </c>
      <c r="D13" s="15" t="s">
        <v>15</v>
      </c>
    </row>
    <row r="14" customFormat="false" ht="15" hidden="false" customHeight="true" outlineLevel="0" collapsed="false">
      <c r="B14" s="15" t="s">
        <v>18</v>
      </c>
      <c r="C14" s="17" t="n">
        <v>0.8</v>
      </c>
      <c r="D14" s="15"/>
    </row>
    <row r="15" customFormat="false" ht="16.5" hidden="false" customHeight="true" outlineLevel="0" collapsed="false">
      <c r="B15" s="15" t="s">
        <v>19</v>
      </c>
      <c r="C15" s="18" t="n">
        <f aca="false">C11*C14</f>
        <v>80</v>
      </c>
      <c r="D15" s="15" t="s">
        <v>15</v>
      </c>
    </row>
    <row r="16" customFormat="false" ht="7.5" hidden="false" customHeight="true" outlineLevel="0" collapsed="false"/>
    <row r="17" customFormat="false" ht="15" hidden="false" customHeight="true" outlineLevel="0" collapsed="false">
      <c r="B17" s="4" t="s">
        <v>20</v>
      </c>
      <c r="C17" s="4"/>
      <c r="D17" s="4"/>
      <c r="E17" s="4"/>
      <c r="F17" s="4"/>
      <c r="G17" s="4"/>
      <c r="H17" s="4"/>
    </row>
    <row r="18" customFormat="false" ht="18.75" hidden="false" customHeight="true" outlineLevel="0" collapsed="false">
      <c r="B18" s="5" t="s">
        <v>21</v>
      </c>
      <c r="C18" s="5" t="s">
        <v>22</v>
      </c>
      <c r="D18" s="6" t="s">
        <v>23</v>
      </c>
      <c r="E18" s="6" t="s">
        <v>24</v>
      </c>
      <c r="F18" s="6" t="s">
        <v>25</v>
      </c>
      <c r="G18" s="5" t="s">
        <v>26</v>
      </c>
    </row>
    <row r="19" customFormat="false" ht="16.5" hidden="false" customHeight="true" outlineLevel="0" collapsed="false">
      <c r="B19" s="19" t="s">
        <v>27</v>
      </c>
      <c r="C19" s="20" t="n">
        <f aca="false">C13</f>
        <v>20</v>
      </c>
      <c r="D19" s="21" t="n">
        <v>80</v>
      </c>
      <c r="E19" s="22" t="n">
        <v>0.24</v>
      </c>
      <c r="F19" s="22" t="n">
        <v>0.1</v>
      </c>
      <c r="G19" s="15" t="s">
        <v>28</v>
      </c>
    </row>
    <row r="20" customFormat="false" ht="16.5" hidden="false" customHeight="true" outlineLevel="0" collapsed="false">
      <c r="B20" s="23" t="s">
        <v>29</v>
      </c>
      <c r="C20" s="16" t="n">
        <v>30</v>
      </c>
      <c r="D20" s="21" t="n">
        <v>20</v>
      </c>
      <c r="E20" s="22" t="n">
        <v>0.24</v>
      </c>
      <c r="F20" s="22" t="n">
        <v>0.1</v>
      </c>
      <c r="G20" s="15" t="s">
        <v>30</v>
      </c>
    </row>
    <row r="21" customFormat="false" ht="16.5" hidden="false" customHeight="true" outlineLevel="0" collapsed="false">
      <c r="B21" s="24" t="s">
        <v>31</v>
      </c>
      <c r="C21" s="25" t="n">
        <f aca="false">C15-30</f>
        <v>50</v>
      </c>
      <c r="D21" s="21" t="n">
        <v>3</v>
      </c>
      <c r="E21" s="22" t="n">
        <v>0.24</v>
      </c>
      <c r="F21" s="22" t="n">
        <v>0.1</v>
      </c>
      <c r="G21" s="15" t="s">
        <v>32</v>
      </c>
    </row>
    <row r="22" customFormat="false" ht="7.5" hidden="false" customHeight="true" outlineLevel="0" collapsed="false"/>
    <row r="23" customFormat="false" ht="15" hidden="false" customHeight="true" outlineLevel="0" collapsed="false">
      <c r="B23" s="4" t="s">
        <v>33</v>
      </c>
      <c r="C23" s="4"/>
      <c r="D23" s="4"/>
      <c r="E23" s="4"/>
      <c r="F23" s="4"/>
      <c r="G23" s="4"/>
      <c r="H23" s="4"/>
    </row>
    <row r="24" customFormat="false" ht="16.5" hidden="false" customHeight="true" outlineLevel="0" collapsed="false">
      <c r="B24" s="15" t="s">
        <v>34</v>
      </c>
      <c r="C24" s="26" t="n">
        <v>1400</v>
      </c>
    </row>
    <row r="25" customFormat="false" ht="16.5" hidden="false" customHeight="true" outlineLevel="0" collapsed="false">
      <c r="B25" s="15" t="s">
        <v>35</v>
      </c>
      <c r="C25" s="27" t="n">
        <v>5</v>
      </c>
    </row>
    <row r="26" customFormat="false" ht="16.5" hidden="false" customHeight="true" outlineLevel="0" collapsed="false">
      <c r="B26" s="15" t="s">
        <v>36</v>
      </c>
      <c r="C26" s="28" t="n">
        <v>0</v>
      </c>
    </row>
  </sheetData>
  <mergeCells count="6">
    <mergeCell ref="B1:H1"/>
    <mergeCell ref="B2:H2"/>
    <mergeCell ref="B4:H4"/>
    <mergeCell ref="B10:H10"/>
    <mergeCell ref="B17:H17"/>
    <mergeCell ref="B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6" min="5" style="1" width="18"/>
    <col collapsed="false" customWidth="true" hidden="false" outlineLevel="0" max="7" min="7" style="1" width="14"/>
    <col collapsed="false" customWidth="true" hidden="false" outlineLevel="0" max="9" min="8" style="1" width="18"/>
    <col collapsed="false" customWidth="true" hidden="false" outlineLevel="0" max="10" min="10" style="1" width="16"/>
    <col collapsed="false" customWidth="true" hidden="false" outlineLevel="0" max="13" min="11" style="1" width="18"/>
  </cols>
  <sheetData>
    <row r="1" customFormat="false" ht="31.5" hidden="false" customHeight="true" outlineLevel="0" collapsed="false">
      <c r="B1" s="29" t="s">
        <v>37</v>
      </c>
      <c r="C1" s="29"/>
      <c r="D1" s="29"/>
      <c r="E1" s="29"/>
      <c r="F1" s="29"/>
      <c r="G1" s="29"/>
      <c r="H1" s="29"/>
      <c r="I1" s="29"/>
      <c r="J1" s="29"/>
      <c r="K1" s="29"/>
      <c r="L1" s="29"/>
    </row>
    <row r="2" customFormat="false" ht="15" hidden="false" customHeight="true" outlineLevel="0" collapsed="false">
      <c r="B2" s="3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7.5" hidden="false" customHeight="true" outlineLevel="0" collapsed="false"/>
    <row r="4" customFormat="false" ht="18.75" hidden="false" customHeight="true" outlineLevel="0" collapsed="false">
      <c r="B4" s="5" t="s">
        <v>21</v>
      </c>
      <c r="C4" s="5" t="s">
        <v>39</v>
      </c>
      <c r="D4" s="6" t="s">
        <v>40</v>
      </c>
      <c r="E4" s="6" t="s">
        <v>41</v>
      </c>
      <c r="F4" s="6" t="s">
        <v>42</v>
      </c>
      <c r="G4" s="6" t="s">
        <v>43</v>
      </c>
      <c r="H4" s="6" t="s">
        <v>44</v>
      </c>
      <c r="I4" s="6" t="s">
        <v>45</v>
      </c>
      <c r="J4" s="6" t="s">
        <v>46</v>
      </c>
      <c r="K4" s="6" t="s">
        <v>47</v>
      </c>
      <c r="L4" s="6" t="s">
        <v>48</v>
      </c>
      <c r="M4" s="5" t="s">
        <v>49</v>
      </c>
    </row>
    <row r="5" customFormat="false" ht="16.5" hidden="false" customHeight="true" outlineLevel="0" collapsed="false">
      <c r="B5" s="19" t="s">
        <v>50</v>
      </c>
      <c r="C5" s="30" t="n">
        <f aca="false">'① 핵심 가정'!C13</f>
        <v>20</v>
      </c>
      <c r="D5" s="18" t="n">
        <f aca="false">'① 핵심 가정'!D19*'① 핵심 가정'!C13</f>
        <v>1600</v>
      </c>
      <c r="E5" s="11" t="n">
        <f aca="false">D5*'① 핵심 가정'!G6</f>
        <v>4116.48</v>
      </c>
      <c r="F5" s="12" t="n">
        <f aca="false">E5*'① 핵심 가정'!C24</f>
        <v>5763072</v>
      </c>
      <c r="G5" s="18" t="n">
        <f aca="false">D5*'① 핵심 가정'!E19</f>
        <v>384</v>
      </c>
      <c r="H5" s="11" t="n">
        <f aca="false">G5*'① 핵심 가정'!G7</f>
        <v>3064.2816</v>
      </c>
      <c r="I5" s="12" t="n">
        <f aca="false">H5*'① 핵심 가정'!C24</f>
        <v>4289994.24</v>
      </c>
      <c r="J5" s="18" t="n">
        <f aca="false">D5*'① 핵심 가정'!F19</f>
        <v>160</v>
      </c>
      <c r="K5" s="11" t="n">
        <f aca="false">J5*'① 핵심 가정'!G8</f>
        <v>2316.624</v>
      </c>
      <c r="L5" s="12" t="n">
        <f aca="false">K5*'① 핵심 가정'!C24</f>
        <v>3243273.6</v>
      </c>
      <c r="M5" s="31" t="n">
        <f aca="false">F5+I5+L5</f>
        <v>13296339.84</v>
      </c>
    </row>
    <row r="6" customFormat="false" ht="16.5" hidden="false" customHeight="true" outlineLevel="0" collapsed="false">
      <c r="B6" s="23" t="s">
        <v>51</v>
      </c>
      <c r="C6" s="30" t="n">
        <f aca="false">'① 핵심 가정'!C20</f>
        <v>30</v>
      </c>
      <c r="D6" s="18" t="n">
        <f aca="false">'① 핵심 가정'!D20*'① 핵심 가정'!C20</f>
        <v>600</v>
      </c>
      <c r="E6" s="11" t="n">
        <f aca="false">D6*'① 핵심 가정'!G6</f>
        <v>1543.68</v>
      </c>
      <c r="F6" s="12" t="n">
        <f aca="false">E6*'① 핵심 가정'!C24</f>
        <v>2161152</v>
      </c>
      <c r="G6" s="18" t="n">
        <f aca="false">D6*'① 핵심 가정'!E20</f>
        <v>144</v>
      </c>
      <c r="H6" s="11" t="n">
        <f aca="false">G6*'① 핵심 가정'!G7</f>
        <v>1149.1056</v>
      </c>
      <c r="I6" s="12" t="n">
        <f aca="false">H6*'① 핵심 가정'!C24</f>
        <v>1608747.84</v>
      </c>
      <c r="J6" s="18" t="n">
        <f aca="false">D6*'① 핵심 가정'!F20</f>
        <v>60</v>
      </c>
      <c r="K6" s="11" t="n">
        <f aca="false">J6*'① 핵심 가정'!G8</f>
        <v>868.734</v>
      </c>
      <c r="L6" s="12" t="n">
        <f aca="false">K6*'① 핵심 가정'!C24</f>
        <v>1216227.6</v>
      </c>
      <c r="M6" s="32" t="n">
        <f aca="false">F6+I6+L6</f>
        <v>4986127.44</v>
      </c>
    </row>
    <row r="7" customFormat="false" ht="16.5" hidden="false" customHeight="true" outlineLevel="0" collapsed="false">
      <c r="B7" s="24" t="s">
        <v>52</v>
      </c>
      <c r="C7" s="30" t="n">
        <f aca="false">'① 핵심 가정'!C21</f>
        <v>50</v>
      </c>
      <c r="D7" s="18" t="n">
        <f aca="false">'① 핵심 가정'!D21*'① 핵심 가정'!C21</f>
        <v>150</v>
      </c>
      <c r="E7" s="11" t="n">
        <f aca="false">D7*'① 핵심 가정'!G6</f>
        <v>385.92</v>
      </c>
      <c r="F7" s="12" t="n">
        <f aca="false">E7*'① 핵심 가정'!C24</f>
        <v>540288</v>
      </c>
      <c r="G7" s="18" t="n">
        <f aca="false">D7*'① 핵심 가정'!E21</f>
        <v>36</v>
      </c>
      <c r="H7" s="11" t="n">
        <f aca="false">G7*'① 핵심 가정'!G7</f>
        <v>287.2764</v>
      </c>
      <c r="I7" s="12" t="n">
        <f aca="false">H7*'① 핵심 가정'!C24</f>
        <v>402186.96</v>
      </c>
      <c r="J7" s="18" t="n">
        <f aca="false">D7*'① 핵심 가정'!F21</f>
        <v>15</v>
      </c>
      <c r="K7" s="11" t="n">
        <f aca="false">J7*'① 핵심 가정'!G8</f>
        <v>217.1835</v>
      </c>
      <c r="L7" s="12" t="n">
        <f aca="false">K7*'① 핵심 가정'!C24</f>
        <v>304056.9</v>
      </c>
      <c r="M7" s="33" t="n">
        <f aca="false">F7+I7+L7</f>
        <v>1246531.86</v>
      </c>
    </row>
    <row r="8" customFormat="false" ht="16.5" hidden="false" customHeight="true" outlineLevel="0" collapsed="false">
      <c r="B8" s="34" t="s">
        <v>53</v>
      </c>
      <c r="C8" s="35" t="n">
        <f aca="false">SUM(C5:C7)</f>
        <v>100</v>
      </c>
      <c r="D8" s="35" t="n">
        <f aca="false">SUM(D5:D7)</f>
        <v>2350</v>
      </c>
      <c r="E8" s="36" t="n">
        <f aca="false">SUM(E5:E7)</f>
        <v>6046.08</v>
      </c>
      <c r="F8" s="37" t="n">
        <f aca="false">SUM(F5:F7)</f>
        <v>8464512</v>
      </c>
      <c r="G8" s="35" t="n">
        <f aca="false">SUM(G5:G7)</f>
        <v>564</v>
      </c>
      <c r="H8" s="36" t="n">
        <f aca="false">SUM(H5:H7)</f>
        <v>4500.6636</v>
      </c>
      <c r="I8" s="37" t="n">
        <f aca="false">SUM(I5:I7)</f>
        <v>6300929.04</v>
      </c>
      <c r="J8" s="35" t="n">
        <f aca="false">SUM(J5:J7)</f>
        <v>235</v>
      </c>
      <c r="K8" s="36" t="n">
        <f aca="false">SUM(K5:K7)</f>
        <v>3402.5415</v>
      </c>
      <c r="L8" s="37" t="n">
        <f aca="false">SUM(L5:L7)</f>
        <v>4763558.1</v>
      </c>
      <c r="M8" s="37" t="n">
        <f aca="false">SUM(M5:M7)</f>
        <v>19528999.14</v>
      </c>
    </row>
    <row r="9" customFormat="false" ht="7.5" hidden="false" customHeight="true" outlineLevel="0" collapsed="false"/>
    <row r="10" customFormat="false" ht="16.5" hidden="false" customHeight="true" outlineLevel="0" collapsed="false">
      <c r="B10" s="4" t="s">
        <v>54</v>
      </c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8.75" hidden="false" customHeight="true" outlineLevel="0" collapsed="false">
      <c r="B11" s="5" t="s">
        <v>3</v>
      </c>
      <c r="C11" s="5" t="s">
        <v>55</v>
      </c>
      <c r="D11" s="5" t="s">
        <v>56</v>
      </c>
      <c r="E11" s="5" t="s">
        <v>57</v>
      </c>
      <c r="F11" s="5" t="s">
        <v>58</v>
      </c>
      <c r="G11" s="5" t="s">
        <v>59</v>
      </c>
      <c r="H11" s="5" t="s">
        <v>60</v>
      </c>
    </row>
    <row r="12" customFormat="false" ht="15" hidden="false" customHeight="true" outlineLevel="0" collapsed="false">
      <c r="B12" s="15" t="s">
        <v>61</v>
      </c>
      <c r="C12" s="12" t="n">
        <f aca="false">M5</f>
        <v>13296339.84</v>
      </c>
      <c r="D12" s="12" t="n">
        <f aca="false">M6</f>
        <v>4986127.44</v>
      </c>
      <c r="E12" s="12" t="n">
        <f aca="false">M7</f>
        <v>1246531.86</v>
      </c>
      <c r="F12" s="12" t="n">
        <f aca="false">SUM(C12:E12)</f>
        <v>19528999.14</v>
      </c>
      <c r="G12" s="38" t="n">
        <f aca="false">C12/F12</f>
        <v>0.680851063829787</v>
      </c>
      <c r="H12" s="39" t="str">
        <f aca="false">IF(G12&gt;=0.7,"✅ 파레토 법칙 성립","⚠️ 편차 확인 필요")</f>
        <v>⚠️ 편차 확인 필요</v>
      </c>
    </row>
    <row r="13" customFormat="false" ht="7.5" hidden="false" customHeight="true" outlineLevel="0" collapsed="false"/>
    <row r="14" customFormat="false" ht="21.75" hidden="false" customHeight="true" outlineLevel="0" collapsed="false">
      <c r="B14" s="40" t="s">
        <v>62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</row>
    <row r="15" customFormat="false" ht="21.75" hidden="false" customHeight="true" outlineLevel="0" collapsed="false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</row>
    <row r="16" customFormat="false" ht="21.75" hidden="false" customHeight="true" outlineLevel="0" collapsed="false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</row>
  </sheetData>
  <mergeCells count="4">
    <mergeCell ref="B1:L1"/>
    <mergeCell ref="B2:L2"/>
    <mergeCell ref="B10:L10"/>
    <mergeCell ref="B14:L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14" min="3" style="1" width="11"/>
    <col collapsed="false" customWidth="true" hidden="false" outlineLevel="0" max="15" min="15" style="1" width="14"/>
  </cols>
  <sheetData>
    <row r="1" customFormat="false" ht="31.5" hidden="false" customHeight="true" outlineLevel="0" collapsed="false">
      <c r="B1" s="2" t="s">
        <v>63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B2" s="3" t="s">
        <v>64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7.5" hidden="false" customHeight="true" outlineLevel="0" collapsed="false"/>
    <row r="4" customFormat="false" ht="16.5" hidden="false" customHeight="true" outlineLevel="0" collapsed="false">
      <c r="B4" s="4" t="s">
        <v>65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24" hidden="false" customHeight="true" outlineLevel="0" collapsed="false">
      <c r="B5" s="41" t="s">
        <v>66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customFormat="false" ht="18.75" hidden="false" customHeight="true" outlineLevel="0" collapsed="false">
      <c r="B6" s="5" t="s">
        <v>3</v>
      </c>
      <c r="C6" s="6" t="s">
        <v>67</v>
      </c>
      <c r="D6" s="6" t="s">
        <v>68</v>
      </c>
      <c r="E6" s="6" t="s">
        <v>69</v>
      </c>
      <c r="F6" s="6" t="s">
        <v>70</v>
      </c>
      <c r="G6" s="6" t="s">
        <v>71</v>
      </c>
      <c r="H6" s="6" t="s">
        <v>72</v>
      </c>
      <c r="I6" s="6" t="s">
        <v>73</v>
      </c>
      <c r="J6" s="6" t="s">
        <v>74</v>
      </c>
      <c r="K6" s="6" t="s">
        <v>75</v>
      </c>
      <c r="L6" s="6" t="s">
        <v>76</v>
      </c>
      <c r="M6" s="6" t="s">
        <v>77</v>
      </c>
      <c r="N6" s="6" t="s">
        <v>78</v>
      </c>
      <c r="O6" s="5" t="s">
        <v>79</v>
      </c>
    </row>
    <row r="7" customFormat="false" ht="16.5" hidden="false" customHeight="true" outlineLevel="0" collapsed="false">
      <c r="B7" s="42" t="s">
        <v>14</v>
      </c>
      <c r="C7" s="43" t="n">
        <v>2</v>
      </c>
      <c r="D7" s="44" t="n">
        <f aca="false">C7+2</f>
        <v>4</v>
      </c>
      <c r="E7" s="44" t="n">
        <f aca="false">D7+2</f>
        <v>6</v>
      </c>
      <c r="F7" s="44" t="n">
        <f aca="false">E7+2</f>
        <v>8</v>
      </c>
      <c r="G7" s="44" t="n">
        <f aca="false">F7+2</f>
        <v>10</v>
      </c>
      <c r="H7" s="44" t="n">
        <f aca="false">G7+2</f>
        <v>12</v>
      </c>
      <c r="I7" s="44" t="n">
        <f aca="false">H7+2</f>
        <v>14</v>
      </c>
      <c r="J7" s="44" t="n">
        <f aca="false">I7+2</f>
        <v>16</v>
      </c>
      <c r="K7" s="44" t="n">
        <f aca="false">J7+2</f>
        <v>18</v>
      </c>
      <c r="L7" s="44" t="n">
        <f aca="false">K7+2</f>
        <v>20</v>
      </c>
      <c r="M7" s="44" t="n">
        <f aca="false">L7+2</f>
        <v>22</v>
      </c>
      <c r="N7" s="44" t="n">
        <f aca="false">M7+2</f>
        <v>24</v>
      </c>
      <c r="O7" s="45" t="n">
        <f aca="false">N7</f>
        <v>24</v>
      </c>
    </row>
    <row r="8" customFormat="false" ht="16.5" hidden="false" customHeight="true" outlineLevel="0" collapsed="false">
      <c r="B8" s="19" t="s">
        <v>80</v>
      </c>
      <c r="C8" s="20" t="n">
        <f aca="false">ROUND(C7*0.2,0)</f>
        <v>0</v>
      </c>
      <c r="D8" s="20" t="n">
        <f aca="false">ROUND(D7*0.2,0)</f>
        <v>1</v>
      </c>
      <c r="E8" s="20" t="n">
        <f aca="false">ROUND(E7*0.2,0)</f>
        <v>1</v>
      </c>
      <c r="F8" s="20" t="n">
        <f aca="false">ROUND(F7*0.2,0)</f>
        <v>2</v>
      </c>
      <c r="G8" s="20" t="n">
        <f aca="false">ROUND(G7*0.2,0)</f>
        <v>2</v>
      </c>
      <c r="H8" s="20" t="n">
        <f aca="false">ROUND(H7*0.2,0)</f>
        <v>2</v>
      </c>
      <c r="I8" s="20" t="n">
        <f aca="false">ROUND(I7*0.2,0)</f>
        <v>3</v>
      </c>
      <c r="J8" s="20" t="n">
        <f aca="false">ROUND(J7*0.2,0)</f>
        <v>3</v>
      </c>
      <c r="K8" s="20" t="n">
        <f aca="false">ROUND(K7*0.2,0)</f>
        <v>4</v>
      </c>
      <c r="L8" s="20" t="n">
        <f aca="false">ROUND(L7*0.2,0)</f>
        <v>4</v>
      </c>
      <c r="M8" s="20" t="n">
        <f aca="false">ROUND(M7*0.2,0)</f>
        <v>4</v>
      </c>
      <c r="N8" s="20" t="n">
        <f aca="false">ROUND(N7*0.2,0)</f>
        <v>5</v>
      </c>
      <c r="O8" s="46" t="n">
        <f aca="false">ROUND(N7*0.2,0)</f>
        <v>5</v>
      </c>
    </row>
    <row r="9" customFormat="false" ht="16.5" hidden="false" customHeight="true" outlineLevel="0" collapsed="false">
      <c r="B9" s="19" t="s">
        <v>81</v>
      </c>
      <c r="C9" s="31" t="n">
        <f aca="false">C8*('① 핵심 가정'!D19*'① 핵심 가정'!G6+'① 핵심 가정'!D19*'① 핵심 가정'!E19*'① 핵심 가정'!G7+'① 핵심 가정'!D19*'① 핵심 가정'!F19*'① 핵심 가정'!G8)*'① 핵심 가정'!C24</f>
        <v>0</v>
      </c>
      <c r="D9" s="31" t="n">
        <f aca="false">D8*('① 핵심 가정'!D19*'① 핵심 가정'!G6+'① 핵심 가정'!D19*'① 핵심 가정'!E19*'① 핵심 가정'!G7+'① 핵심 가정'!D19*'① 핵심 가정'!F19*'① 핵심 가정'!G8)*'① 핵심 가정'!C24</f>
        <v>664816.992</v>
      </c>
      <c r="E9" s="31" t="n">
        <f aca="false">E8*('① 핵심 가정'!D19*'① 핵심 가정'!G6+'① 핵심 가정'!D19*'① 핵심 가정'!E19*'① 핵심 가정'!G7+'① 핵심 가정'!D19*'① 핵심 가정'!F19*'① 핵심 가정'!G8)*'① 핵심 가정'!C24</f>
        <v>664816.992</v>
      </c>
      <c r="F9" s="31" t="n">
        <f aca="false">F8*('① 핵심 가정'!D19*'① 핵심 가정'!G6+'① 핵심 가정'!D19*'① 핵심 가정'!E19*'① 핵심 가정'!G7+'① 핵심 가정'!D19*'① 핵심 가정'!F19*'① 핵심 가정'!G8)*'① 핵심 가정'!C24</f>
        <v>1329633.984</v>
      </c>
      <c r="G9" s="31" t="n">
        <f aca="false">G8*('① 핵심 가정'!D19*'① 핵심 가정'!G6+'① 핵심 가정'!D19*'① 핵심 가정'!E19*'① 핵심 가정'!G7+'① 핵심 가정'!D19*'① 핵심 가정'!F19*'① 핵심 가정'!G8)*'① 핵심 가정'!C24</f>
        <v>1329633.984</v>
      </c>
      <c r="H9" s="31" t="n">
        <f aca="false">H8*('① 핵심 가정'!D19*'① 핵심 가정'!G6+'① 핵심 가정'!D19*'① 핵심 가정'!E19*'① 핵심 가정'!G7+'① 핵심 가정'!D19*'① 핵심 가정'!F19*'① 핵심 가정'!G8)*'① 핵심 가정'!C24</f>
        <v>1329633.984</v>
      </c>
      <c r="I9" s="31" t="n">
        <f aca="false">I8*('① 핵심 가정'!D19*'① 핵심 가정'!G6+'① 핵심 가정'!D19*'① 핵심 가정'!E19*'① 핵심 가정'!G7+'① 핵심 가정'!D19*'① 핵심 가정'!F19*'① 핵심 가정'!G8)*'① 핵심 가정'!C24</f>
        <v>1994450.976</v>
      </c>
      <c r="J9" s="31" t="n">
        <f aca="false">J8*('① 핵심 가정'!D19*'① 핵심 가정'!G6+'① 핵심 가정'!D19*'① 핵심 가정'!E19*'① 핵심 가정'!G7+'① 핵심 가정'!D19*'① 핵심 가정'!F19*'① 핵심 가정'!G8)*'① 핵심 가정'!C24</f>
        <v>1994450.976</v>
      </c>
      <c r="K9" s="31" t="n">
        <f aca="false">K8*('① 핵심 가정'!D19*'① 핵심 가정'!G6+'① 핵심 가정'!D19*'① 핵심 가정'!E19*'① 핵심 가정'!G7+'① 핵심 가정'!D19*'① 핵심 가정'!F19*'① 핵심 가정'!G8)*'① 핵심 가정'!C24</f>
        <v>2659267.968</v>
      </c>
      <c r="L9" s="31" t="n">
        <f aca="false">L8*('① 핵심 가정'!D19*'① 핵심 가정'!G6+'① 핵심 가정'!D19*'① 핵심 가정'!E19*'① 핵심 가정'!G7+'① 핵심 가정'!D19*'① 핵심 가정'!F19*'① 핵심 가정'!G8)*'① 핵심 가정'!C24</f>
        <v>2659267.968</v>
      </c>
      <c r="M9" s="31" t="n">
        <f aca="false">M8*('① 핵심 가정'!D19*'① 핵심 가정'!G6+'① 핵심 가정'!D19*'① 핵심 가정'!E19*'① 핵심 가정'!G7+'① 핵심 가정'!D19*'① 핵심 가정'!F19*'① 핵심 가정'!G8)*'① 핵심 가정'!C24</f>
        <v>2659267.968</v>
      </c>
      <c r="N9" s="31" t="n">
        <f aca="false">N8*('① 핵심 가정'!D19*'① 핵심 가정'!G6+'① 핵심 가정'!D19*'① 핵심 가정'!E19*'① 핵심 가정'!G7+'① 핵심 가정'!D19*'① 핵심 가정'!F19*'① 핵심 가정'!G8)*'① 핵심 가정'!C24</f>
        <v>3324084.96</v>
      </c>
      <c r="O9" s="47" t="n">
        <f aca="false">SUM(C9:N9)</f>
        <v>20609326.752</v>
      </c>
    </row>
    <row r="10" customFormat="false" ht="16.5" hidden="false" customHeight="true" outlineLevel="0" collapsed="false">
      <c r="B10" s="23" t="s">
        <v>82</v>
      </c>
      <c r="C10" s="32" t="n">
        <f aca="false">(C7-C8)*0.375*('① 핵심 가정'!D20*'① 핵심 가정'!G6+'① 핵심 가정'!D20*'① 핵심 가정'!E20*'① 핵심 가정'!G7+'① 핵심 가정'!D20*'① 핵심 가정'!F20*'① 핵심 가정'!G8)*'① 핵심 가정'!C24+(C7-C8)*0.625*('① 핵심 가정'!D21*'① 핵심 가정'!G6+'① 핵심 가정'!D21*'① 핵심 가정'!E21*'① 핵심 가정'!G7+'① 핵심 가정'!D21*'① 핵심 가정'!F21*'① 핵심 가정'!G8)*'① 핵심 가정'!C24</f>
        <v>155816.4825</v>
      </c>
      <c r="D10" s="32" t="n">
        <f aca="false">(D7-D8)*0.375*('① 핵심 가정'!D20*'① 핵심 가정'!G6+'① 핵심 가정'!D20*'① 핵심 가정'!E20*'① 핵심 가정'!G7+'① 핵심 가정'!D20*'① 핵심 가정'!F20*'① 핵심 가정'!G8)*'① 핵심 가정'!C24+(D7-D8)*0.625*('① 핵심 가정'!D21*'① 핵심 가정'!G6+'① 핵심 가정'!D21*'① 핵심 가정'!E21*'① 핵심 가정'!G7+'① 핵심 가정'!D21*'① 핵심 가정'!F21*'① 핵심 가정'!G8)*'① 핵심 가정'!C24</f>
        <v>233724.72375</v>
      </c>
      <c r="E10" s="32" t="n">
        <f aca="false">(E7-E8)*0.375*('① 핵심 가정'!D20*'① 핵심 가정'!G6+'① 핵심 가정'!D20*'① 핵심 가정'!E20*'① 핵심 가정'!G7+'① 핵심 가정'!D20*'① 핵심 가정'!F20*'① 핵심 가정'!G8)*'① 핵심 가정'!C24+(E7-E8)*0.625*('① 핵심 가정'!D21*'① 핵심 가정'!G6+'① 핵심 가정'!D21*'① 핵심 가정'!E21*'① 핵심 가정'!G7+'① 핵심 가정'!D21*'① 핵심 가정'!F21*'① 핵심 가정'!G8)*'① 핵심 가정'!C24</f>
        <v>389541.20625</v>
      </c>
      <c r="F10" s="32" t="n">
        <f aca="false">(F7-F8)*0.375*('① 핵심 가정'!D20*'① 핵심 가정'!G6+'① 핵심 가정'!D20*'① 핵심 가정'!E20*'① 핵심 가정'!G7+'① 핵심 가정'!D20*'① 핵심 가정'!F20*'① 핵심 가정'!G8)*'① 핵심 가정'!C24+(F7-F8)*0.625*('① 핵심 가정'!D21*'① 핵심 가정'!G6+'① 핵심 가정'!D21*'① 핵심 가정'!E21*'① 핵심 가정'!G7+'① 핵심 가정'!D21*'① 핵심 가정'!F21*'① 핵심 가정'!G8)*'① 핵심 가정'!C24</f>
        <v>467449.4475</v>
      </c>
      <c r="G10" s="32" t="n">
        <f aca="false">(G7-G8)*0.375*('① 핵심 가정'!D20*'① 핵심 가정'!G6+'① 핵심 가정'!D20*'① 핵심 가정'!E20*'① 핵심 가정'!G7+'① 핵심 가정'!D20*'① 핵심 가정'!F20*'① 핵심 가정'!G8)*'① 핵심 가정'!C24+(G7-G8)*0.625*('① 핵심 가정'!D21*'① 핵심 가정'!G6+'① 핵심 가정'!D21*'① 핵심 가정'!E21*'① 핵심 가정'!G7+'① 핵심 가정'!D21*'① 핵심 가정'!F21*'① 핵심 가정'!G8)*'① 핵심 가정'!C24</f>
        <v>623265.93</v>
      </c>
      <c r="H10" s="32" t="n">
        <f aca="false">(H7-H8)*0.375*('① 핵심 가정'!D20*'① 핵심 가정'!G6+'① 핵심 가정'!D20*'① 핵심 가정'!E20*'① 핵심 가정'!G7+'① 핵심 가정'!D20*'① 핵심 가정'!F20*'① 핵심 가정'!G8)*'① 핵심 가정'!C24+(H7-H8)*0.625*('① 핵심 가정'!D21*'① 핵심 가정'!G6+'① 핵심 가정'!D21*'① 핵심 가정'!E21*'① 핵심 가정'!G7+'① 핵심 가정'!D21*'① 핵심 가정'!F21*'① 핵심 가정'!G8)*'① 핵심 가정'!C24</f>
        <v>779082.4125</v>
      </c>
      <c r="I10" s="32" t="n">
        <f aca="false">(I7-I8)*0.375*('① 핵심 가정'!D20*'① 핵심 가정'!G6+'① 핵심 가정'!D20*'① 핵심 가정'!E20*'① 핵심 가정'!G7+'① 핵심 가정'!D20*'① 핵심 가정'!F20*'① 핵심 가정'!G8)*'① 핵심 가정'!C24+(I7-I8)*0.625*('① 핵심 가정'!D21*'① 핵심 가정'!G6+'① 핵심 가정'!D21*'① 핵심 가정'!E21*'① 핵심 가정'!G7+'① 핵심 가정'!D21*'① 핵심 가정'!F21*'① 핵심 가정'!G8)*'① 핵심 가정'!C24</f>
        <v>856990.65375</v>
      </c>
      <c r="J10" s="32" t="n">
        <f aca="false">(J7-J8)*0.375*('① 핵심 가정'!D20*'① 핵심 가정'!G6+'① 핵심 가정'!D20*'① 핵심 가정'!E20*'① 핵심 가정'!G7+'① 핵심 가정'!D20*'① 핵심 가정'!F20*'① 핵심 가정'!G8)*'① 핵심 가정'!C24+(J7-J8)*0.625*('① 핵심 가정'!D21*'① 핵심 가정'!G6+'① 핵심 가정'!D21*'① 핵심 가정'!E21*'① 핵심 가정'!G7+'① 핵심 가정'!D21*'① 핵심 가정'!F21*'① 핵심 가정'!G8)*'① 핵심 가정'!C24</f>
        <v>1012807.13625</v>
      </c>
      <c r="K10" s="32" t="n">
        <f aca="false">(K7-K8)*0.375*('① 핵심 가정'!D20*'① 핵심 가정'!G6+'① 핵심 가정'!D20*'① 핵심 가정'!E20*'① 핵심 가정'!G7+'① 핵심 가정'!D20*'① 핵심 가정'!F20*'① 핵심 가정'!G8)*'① 핵심 가정'!C24+(K7-K8)*0.625*('① 핵심 가정'!D21*'① 핵심 가정'!G6+'① 핵심 가정'!D21*'① 핵심 가정'!E21*'① 핵심 가정'!G7+'① 핵심 가정'!D21*'① 핵심 가정'!F21*'① 핵심 가정'!G8)*'① 핵심 가정'!C24</f>
        <v>1090715.3775</v>
      </c>
      <c r="L10" s="32" t="n">
        <f aca="false">(L7-L8)*0.375*('① 핵심 가정'!D20*'① 핵심 가정'!G6+'① 핵심 가정'!D20*'① 핵심 가정'!E20*'① 핵심 가정'!G7+'① 핵심 가정'!D20*'① 핵심 가정'!F20*'① 핵심 가정'!G8)*'① 핵심 가정'!C24+(L7-L8)*0.625*('① 핵심 가정'!D21*'① 핵심 가정'!G6+'① 핵심 가정'!D21*'① 핵심 가정'!E21*'① 핵심 가정'!G7+'① 핵심 가정'!D21*'① 핵심 가정'!F21*'① 핵심 가정'!G8)*'① 핵심 가정'!C24</f>
        <v>1246531.86</v>
      </c>
      <c r="M10" s="32" t="n">
        <f aca="false">(M7-M8)*0.375*('① 핵심 가정'!D20*'① 핵심 가정'!G6+'① 핵심 가정'!D20*'① 핵심 가정'!E20*'① 핵심 가정'!G7+'① 핵심 가정'!D20*'① 핵심 가정'!F20*'① 핵심 가정'!G8)*'① 핵심 가정'!C24+(M7-M8)*0.625*('① 핵심 가정'!D21*'① 핵심 가정'!G6+'① 핵심 가정'!D21*'① 핵심 가정'!E21*'① 핵심 가정'!G7+'① 핵심 가정'!D21*'① 핵심 가정'!F21*'① 핵심 가정'!G8)*'① 핵심 가정'!C24</f>
        <v>1402348.3425</v>
      </c>
      <c r="N10" s="32" t="n">
        <f aca="false">(N7-N8)*0.375*('① 핵심 가정'!D20*'① 핵심 가정'!G6+'① 핵심 가정'!D20*'① 핵심 가정'!E20*'① 핵심 가정'!G7+'① 핵심 가정'!D20*'① 핵심 가정'!F20*'① 핵심 가정'!G8)*'① 핵심 가정'!C24+(N7-N8)*0.625*('① 핵심 가정'!D21*'① 핵심 가정'!G6+'① 핵심 가정'!D21*'① 핵심 가정'!E21*'① 핵심 가정'!G7+'① 핵심 가정'!D21*'① 핵심 가정'!F21*'① 핵심 가정'!G8)*'① 핵심 가정'!C24</f>
        <v>1480256.58375</v>
      </c>
      <c r="O10" s="48" t="n">
        <f aca="false">SUM(C10:N10)</f>
        <v>9738530.15625</v>
      </c>
    </row>
    <row r="11" customFormat="false" ht="16.5" hidden="false" customHeight="true" outlineLevel="0" collapsed="false">
      <c r="B11" s="34" t="s">
        <v>83</v>
      </c>
      <c r="C11" s="37" t="n">
        <f aca="false">C9+C10</f>
        <v>155816.4825</v>
      </c>
      <c r="D11" s="37" t="n">
        <f aca="false">D9+D10</f>
        <v>898541.71575</v>
      </c>
      <c r="E11" s="37" t="n">
        <f aca="false">E9+E10</f>
        <v>1054358.19825</v>
      </c>
      <c r="F11" s="37" t="n">
        <f aca="false">F9+F10</f>
        <v>1797083.4315</v>
      </c>
      <c r="G11" s="37" t="n">
        <f aca="false">G9+G10</f>
        <v>1952899.914</v>
      </c>
      <c r="H11" s="37" t="n">
        <f aca="false">H9+H10</f>
        <v>2108716.3965</v>
      </c>
      <c r="I11" s="37" t="n">
        <f aca="false">I9+I10</f>
        <v>2851441.62975</v>
      </c>
      <c r="J11" s="37" t="n">
        <f aca="false">J9+J10</f>
        <v>3007258.11225</v>
      </c>
      <c r="K11" s="37" t="n">
        <f aca="false">K9+K10</f>
        <v>3749983.3455</v>
      </c>
      <c r="L11" s="37" t="n">
        <f aca="false">L9+L10</f>
        <v>3905799.828</v>
      </c>
      <c r="M11" s="37" t="n">
        <f aca="false">M9+M10</f>
        <v>4061616.3105</v>
      </c>
      <c r="N11" s="37" t="n">
        <f aca="false">N9+N10</f>
        <v>4804341.54375</v>
      </c>
      <c r="O11" s="37" t="n">
        <f aca="false">SUM(C11:N11)</f>
        <v>30347856.90825</v>
      </c>
    </row>
    <row r="12" customFormat="false" ht="16.5" hidden="false" customHeight="true" outlineLevel="0" collapsed="false">
      <c r="B12" s="49" t="s">
        <v>84</v>
      </c>
      <c r="C12" s="50" t="n">
        <f aca="false">C11</f>
        <v>155816.4825</v>
      </c>
      <c r="D12" s="50" t="n">
        <f aca="false">C12+D11</f>
        <v>1054358.19825</v>
      </c>
      <c r="E12" s="50" t="n">
        <f aca="false">D12+E11</f>
        <v>2108716.3965</v>
      </c>
      <c r="F12" s="50" t="n">
        <f aca="false">E12+F11</f>
        <v>3905799.828</v>
      </c>
      <c r="G12" s="50" t="n">
        <f aca="false">F12+G11</f>
        <v>5858699.742</v>
      </c>
      <c r="H12" s="50" t="n">
        <f aca="false">G12+H11</f>
        <v>7967416.1385</v>
      </c>
      <c r="I12" s="50" t="n">
        <f aca="false">H12+I11</f>
        <v>10818857.76825</v>
      </c>
      <c r="J12" s="50" t="n">
        <f aca="false">I12+J11</f>
        <v>13826115.8805</v>
      </c>
      <c r="K12" s="50" t="n">
        <f aca="false">J12+K11</f>
        <v>17576099.226</v>
      </c>
      <c r="L12" s="50" t="n">
        <f aca="false">K12+L11</f>
        <v>21481899.054</v>
      </c>
      <c r="M12" s="50" t="n">
        <f aca="false">L12+M11</f>
        <v>25543515.3645</v>
      </c>
      <c r="N12" s="50" t="n">
        <f aca="false">M12+N11</f>
        <v>30347856.90825</v>
      </c>
      <c r="O12" s="50" t="n">
        <f aca="false">N12</f>
        <v>30347856.90825</v>
      </c>
    </row>
    <row r="13" customFormat="false" ht="15" hidden="false" customHeight="false" outlineLevel="0" collapsed="false"/>
    <row r="14" customFormat="false" ht="24" hidden="false" customHeight="true" outlineLevel="0" collapsed="false">
      <c r="B14" s="41" t="s">
        <v>85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customFormat="false" ht="18.75" hidden="false" customHeight="true" outlineLevel="0" collapsed="false">
      <c r="B15" s="5" t="s">
        <v>3</v>
      </c>
      <c r="C15" s="6" t="s">
        <v>67</v>
      </c>
      <c r="D15" s="6" t="s">
        <v>68</v>
      </c>
      <c r="E15" s="6" t="s">
        <v>69</v>
      </c>
      <c r="F15" s="6" t="s">
        <v>70</v>
      </c>
      <c r="G15" s="6" t="s">
        <v>71</v>
      </c>
      <c r="H15" s="6" t="s">
        <v>72</v>
      </c>
      <c r="I15" s="6" t="s">
        <v>73</v>
      </c>
      <c r="J15" s="6" t="s">
        <v>74</v>
      </c>
      <c r="K15" s="6" t="s">
        <v>75</v>
      </c>
      <c r="L15" s="6" t="s">
        <v>76</v>
      </c>
      <c r="M15" s="6" t="s">
        <v>77</v>
      </c>
      <c r="N15" s="6" t="s">
        <v>78</v>
      </c>
      <c r="O15" s="5" t="s">
        <v>79</v>
      </c>
    </row>
    <row r="16" customFormat="false" ht="16.5" hidden="false" customHeight="true" outlineLevel="0" collapsed="false">
      <c r="B16" s="23" t="s">
        <v>14</v>
      </c>
      <c r="C16" s="51" t="n">
        <v>5</v>
      </c>
      <c r="D16" s="52" t="n">
        <f aca="false">C16+5</f>
        <v>10</v>
      </c>
      <c r="E16" s="52" t="n">
        <f aca="false">D16+5</f>
        <v>15</v>
      </c>
      <c r="F16" s="52" t="n">
        <f aca="false">E16+5</f>
        <v>20</v>
      </c>
      <c r="G16" s="52" t="n">
        <f aca="false">F16+5</f>
        <v>25</v>
      </c>
      <c r="H16" s="52" t="n">
        <f aca="false">G16+5</f>
        <v>30</v>
      </c>
      <c r="I16" s="52" t="n">
        <f aca="false">H16+5</f>
        <v>35</v>
      </c>
      <c r="J16" s="52" t="n">
        <f aca="false">I16+5</f>
        <v>40</v>
      </c>
      <c r="K16" s="52" t="n">
        <f aca="false">J16+5</f>
        <v>45</v>
      </c>
      <c r="L16" s="52" t="n">
        <f aca="false">K16+5</f>
        <v>50</v>
      </c>
      <c r="M16" s="52" t="n">
        <f aca="false">L16+5</f>
        <v>55</v>
      </c>
      <c r="N16" s="52" t="n">
        <f aca="false">M16+5</f>
        <v>60</v>
      </c>
      <c r="O16" s="53" t="n">
        <f aca="false">N16</f>
        <v>60</v>
      </c>
    </row>
    <row r="17" customFormat="false" ht="16.5" hidden="false" customHeight="true" outlineLevel="0" collapsed="false">
      <c r="B17" s="19" t="s">
        <v>80</v>
      </c>
      <c r="C17" s="20" t="n">
        <f aca="false">ROUND(C16*0.2,0)</f>
        <v>1</v>
      </c>
      <c r="D17" s="20" t="n">
        <f aca="false">ROUND(D16*0.2,0)</f>
        <v>2</v>
      </c>
      <c r="E17" s="20" t="n">
        <f aca="false">ROUND(E16*0.2,0)</f>
        <v>3</v>
      </c>
      <c r="F17" s="20" t="n">
        <f aca="false">ROUND(F16*0.2,0)</f>
        <v>4</v>
      </c>
      <c r="G17" s="20" t="n">
        <f aca="false">ROUND(G16*0.2,0)</f>
        <v>5</v>
      </c>
      <c r="H17" s="20" t="n">
        <f aca="false">ROUND(H16*0.2,0)</f>
        <v>6</v>
      </c>
      <c r="I17" s="20" t="n">
        <f aca="false">ROUND(I16*0.2,0)</f>
        <v>7</v>
      </c>
      <c r="J17" s="20" t="n">
        <f aca="false">ROUND(J16*0.2,0)</f>
        <v>8</v>
      </c>
      <c r="K17" s="20" t="n">
        <f aca="false">ROUND(K16*0.2,0)</f>
        <v>9</v>
      </c>
      <c r="L17" s="20" t="n">
        <f aca="false">ROUND(L16*0.2,0)</f>
        <v>10</v>
      </c>
      <c r="M17" s="20" t="n">
        <f aca="false">ROUND(M16*0.2,0)</f>
        <v>11</v>
      </c>
      <c r="N17" s="20" t="n">
        <f aca="false">ROUND(N16*0.2,0)</f>
        <v>12</v>
      </c>
      <c r="O17" s="46" t="n">
        <f aca="false">ROUND(N16*0.2,0)</f>
        <v>12</v>
      </c>
    </row>
    <row r="18" customFormat="false" ht="16.5" hidden="false" customHeight="true" outlineLevel="0" collapsed="false">
      <c r="B18" s="19" t="s">
        <v>81</v>
      </c>
      <c r="C18" s="31" t="n">
        <f aca="false">C17*('① 핵심 가정'!D19*'① 핵심 가정'!G6+'① 핵심 가정'!D19*'① 핵심 가정'!E19*'① 핵심 가정'!G7+'① 핵심 가정'!D19*'① 핵심 가정'!F19*'① 핵심 가정'!G8)*'① 핵심 가정'!C24</f>
        <v>664816.992</v>
      </c>
      <c r="D18" s="31" t="n">
        <f aca="false">D17*('① 핵심 가정'!D19*'① 핵심 가정'!G6+'① 핵심 가정'!D19*'① 핵심 가정'!E19*'① 핵심 가정'!G7+'① 핵심 가정'!D19*'① 핵심 가정'!F19*'① 핵심 가정'!G8)*'① 핵심 가정'!C24</f>
        <v>1329633.984</v>
      </c>
      <c r="E18" s="31" t="n">
        <f aca="false">E17*('① 핵심 가정'!D19*'① 핵심 가정'!G6+'① 핵심 가정'!D19*'① 핵심 가정'!E19*'① 핵심 가정'!G7+'① 핵심 가정'!D19*'① 핵심 가정'!F19*'① 핵심 가정'!G8)*'① 핵심 가정'!C24</f>
        <v>1994450.976</v>
      </c>
      <c r="F18" s="31" t="n">
        <f aca="false">F17*('① 핵심 가정'!D19*'① 핵심 가정'!G6+'① 핵심 가정'!D19*'① 핵심 가정'!E19*'① 핵심 가정'!G7+'① 핵심 가정'!D19*'① 핵심 가정'!F19*'① 핵심 가정'!G8)*'① 핵심 가정'!C24</f>
        <v>2659267.968</v>
      </c>
      <c r="G18" s="31" t="n">
        <f aca="false">G17*('① 핵심 가정'!D19*'① 핵심 가정'!G6+'① 핵심 가정'!D19*'① 핵심 가정'!E19*'① 핵심 가정'!G7+'① 핵심 가정'!D19*'① 핵심 가정'!F19*'① 핵심 가정'!G8)*'① 핵심 가정'!C24</f>
        <v>3324084.96</v>
      </c>
      <c r="H18" s="31" t="n">
        <f aca="false">H17*('① 핵심 가정'!D19*'① 핵심 가정'!G6+'① 핵심 가정'!D19*'① 핵심 가정'!E19*'① 핵심 가정'!G7+'① 핵심 가정'!D19*'① 핵심 가정'!F19*'① 핵심 가정'!G8)*'① 핵심 가정'!C24</f>
        <v>3988901.952</v>
      </c>
      <c r="I18" s="31" t="n">
        <f aca="false">I17*('① 핵심 가정'!D19*'① 핵심 가정'!G6+'① 핵심 가정'!D19*'① 핵심 가정'!E19*'① 핵심 가정'!G7+'① 핵심 가정'!D19*'① 핵심 가정'!F19*'① 핵심 가정'!G8)*'① 핵심 가정'!C24</f>
        <v>4653718.944</v>
      </c>
      <c r="J18" s="31" t="n">
        <f aca="false">J17*('① 핵심 가정'!D19*'① 핵심 가정'!G6+'① 핵심 가정'!D19*'① 핵심 가정'!E19*'① 핵심 가정'!G7+'① 핵심 가정'!D19*'① 핵심 가정'!F19*'① 핵심 가정'!G8)*'① 핵심 가정'!C24</f>
        <v>5318535.936</v>
      </c>
      <c r="K18" s="31" t="n">
        <f aca="false">K17*('① 핵심 가정'!D19*'① 핵심 가정'!G6+'① 핵심 가정'!D19*'① 핵심 가정'!E19*'① 핵심 가정'!G7+'① 핵심 가정'!D19*'① 핵심 가정'!F19*'① 핵심 가정'!G8)*'① 핵심 가정'!C24</f>
        <v>5983352.928</v>
      </c>
      <c r="L18" s="31" t="n">
        <f aca="false">L17*('① 핵심 가정'!D19*'① 핵심 가정'!G6+'① 핵심 가정'!D19*'① 핵심 가정'!E19*'① 핵심 가정'!G7+'① 핵심 가정'!D19*'① 핵심 가정'!F19*'① 핵심 가정'!G8)*'① 핵심 가정'!C24</f>
        <v>6648169.92</v>
      </c>
      <c r="M18" s="31" t="n">
        <f aca="false">M17*('① 핵심 가정'!D19*'① 핵심 가정'!G6+'① 핵심 가정'!D19*'① 핵심 가정'!E19*'① 핵심 가정'!G7+'① 핵심 가정'!D19*'① 핵심 가정'!F19*'① 핵심 가정'!G8)*'① 핵심 가정'!C24</f>
        <v>7312986.912</v>
      </c>
      <c r="N18" s="31" t="n">
        <f aca="false">N17*('① 핵심 가정'!D19*'① 핵심 가정'!G6+'① 핵심 가정'!D19*'① 핵심 가정'!E19*'① 핵심 가정'!G7+'① 핵심 가정'!D19*'① 핵심 가정'!F19*'① 핵심 가정'!G8)*'① 핵심 가정'!C24</f>
        <v>7977803.904</v>
      </c>
      <c r="O18" s="47" t="n">
        <f aca="false">SUM(C18:N18)</f>
        <v>51855725.376</v>
      </c>
    </row>
    <row r="19" customFormat="false" ht="16.5" hidden="false" customHeight="true" outlineLevel="0" collapsed="false">
      <c r="B19" s="23" t="s">
        <v>82</v>
      </c>
      <c r="C19" s="32" t="n">
        <f aca="false">(C16-C17)*0.375*('① 핵심 가정'!D20*'① 핵심 가정'!G6+'① 핵심 가정'!D20*'① 핵심 가정'!E20*'① 핵심 가정'!G7+'① 핵심 가정'!D20*'① 핵심 가정'!F20*'① 핵심 가정'!G8)*'① 핵심 가정'!C24+(C16-C17)*0.625*('① 핵심 가정'!D21*'① 핵심 가정'!G6+'① 핵심 가정'!D21*'① 핵심 가정'!E21*'① 핵심 가정'!G7+'① 핵심 가정'!D21*'① 핵심 가정'!F21*'① 핵심 가정'!G8)*'① 핵심 가정'!C24</f>
        <v>311632.965</v>
      </c>
      <c r="D19" s="32" t="n">
        <f aca="false">(D16-D17)*0.375*('① 핵심 가정'!D20*'① 핵심 가정'!G6+'① 핵심 가정'!D20*'① 핵심 가정'!E20*'① 핵심 가정'!G7+'① 핵심 가정'!D20*'① 핵심 가정'!F20*'① 핵심 가정'!G8)*'① 핵심 가정'!C24+(D16-D17)*0.625*('① 핵심 가정'!D21*'① 핵심 가정'!G6+'① 핵심 가정'!D21*'① 핵심 가정'!E21*'① 핵심 가정'!G7+'① 핵심 가정'!D21*'① 핵심 가정'!F21*'① 핵심 가정'!G8)*'① 핵심 가정'!C24</f>
        <v>623265.93</v>
      </c>
      <c r="E19" s="32" t="n">
        <f aca="false">(E16-E17)*0.375*('① 핵심 가정'!D20*'① 핵심 가정'!G6+'① 핵심 가정'!D20*'① 핵심 가정'!E20*'① 핵심 가정'!G7+'① 핵심 가정'!D20*'① 핵심 가정'!F20*'① 핵심 가정'!G8)*'① 핵심 가정'!C24+(E16-E17)*0.625*('① 핵심 가정'!D21*'① 핵심 가정'!G6+'① 핵심 가정'!D21*'① 핵심 가정'!E21*'① 핵심 가정'!G7+'① 핵심 가정'!D21*'① 핵심 가정'!F21*'① 핵심 가정'!G8)*'① 핵심 가정'!C24</f>
        <v>934898.895</v>
      </c>
      <c r="F19" s="32" t="n">
        <f aca="false">(F16-F17)*0.375*('① 핵심 가정'!D20*'① 핵심 가정'!G6+'① 핵심 가정'!D20*'① 핵심 가정'!E20*'① 핵심 가정'!G7+'① 핵심 가정'!D20*'① 핵심 가정'!F20*'① 핵심 가정'!G8)*'① 핵심 가정'!C24+(F16-F17)*0.625*('① 핵심 가정'!D21*'① 핵심 가정'!G6+'① 핵심 가정'!D21*'① 핵심 가정'!E21*'① 핵심 가정'!G7+'① 핵심 가정'!D21*'① 핵심 가정'!F21*'① 핵심 가정'!G8)*'① 핵심 가정'!C24</f>
        <v>1246531.86</v>
      </c>
      <c r="G19" s="32" t="n">
        <f aca="false">(G16-G17)*0.375*('① 핵심 가정'!D20*'① 핵심 가정'!G6+'① 핵심 가정'!D20*'① 핵심 가정'!E20*'① 핵심 가정'!G7+'① 핵심 가정'!D20*'① 핵심 가정'!F20*'① 핵심 가정'!G8)*'① 핵심 가정'!C24+(G16-G17)*0.625*('① 핵심 가정'!D21*'① 핵심 가정'!G6+'① 핵심 가정'!D21*'① 핵심 가정'!E21*'① 핵심 가정'!G7+'① 핵심 가정'!D21*'① 핵심 가정'!F21*'① 핵심 가정'!G8)*'① 핵심 가정'!C24</f>
        <v>1558164.825</v>
      </c>
      <c r="H19" s="32" t="n">
        <f aca="false">(H16-H17)*0.375*('① 핵심 가정'!D20*'① 핵심 가정'!G6+'① 핵심 가정'!D20*'① 핵심 가정'!E20*'① 핵심 가정'!G7+'① 핵심 가정'!D20*'① 핵심 가정'!F20*'① 핵심 가정'!G8)*'① 핵심 가정'!C24+(H16-H17)*0.625*('① 핵심 가정'!D21*'① 핵심 가정'!G6+'① 핵심 가정'!D21*'① 핵심 가정'!E21*'① 핵심 가정'!G7+'① 핵심 가정'!D21*'① 핵심 가정'!F21*'① 핵심 가정'!G8)*'① 핵심 가정'!C24</f>
        <v>1869797.79</v>
      </c>
      <c r="I19" s="32" t="n">
        <f aca="false">(I16-I17)*0.375*('① 핵심 가정'!D20*'① 핵심 가정'!G6+'① 핵심 가정'!D20*'① 핵심 가정'!E20*'① 핵심 가정'!G7+'① 핵심 가정'!D20*'① 핵심 가정'!F20*'① 핵심 가정'!G8)*'① 핵심 가정'!C24+(I16-I17)*0.625*('① 핵심 가정'!D21*'① 핵심 가정'!G6+'① 핵심 가정'!D21*'① 핵심 가정'!E21*'① 핵심 가정'!G7+'① 핵심 가정'!D21*'① 핵심 가정'!F21*'① 핵심 가정'!G8)*'① 핵심 가정'!C24</f>
        <v>2181430.755</v>
      </c>
      <c r="J19" s="32" t="n">
        <f aca="false">(J16-J17)*0.375*('① 핵심 가정'!D20*'① 핵심 가정'!G6+'① 핵심 가정'!D20*'① 핵심 가정'!E20*'① 핵심 가정'!G7+'① 핵심 가정'!D20*'① 핵심 가정'!F20*'① 핵심 가정'!G8)*'① 핵심 가정'!C24+(J16-J17)*0.625*('① 핵심 가정'!D21*'① 핵심 가정'!G6+'① 핵심 가정'!D21*'① 핵심 가정'!E21*'① 핵심 가정'!G7+'① 핵심 가정'!D21*'① 핵심 가정'!F21*'① 핵심 가정'!G8)*'① 핵심 가정'!C24</f>
        <v>2493063.72</v>
      </c>
      <c r="K19" s="32" t="n">
        <f aca="false">(K16-K17)*0.375*('① 핵심 가정'!D20*'① 핵심 가정'!G6+'① 핵심 가정'!D20*'① 핵심 가정'!E20*'① 핵심 가정'!G7+'① 핵심 가정'!D20*'① 핵심 가정'!F20*'① 핵심 가정'!G8)*'① 핵심 가정'!C24+(K16-K17)*0.625*('① 핵심 가정'!D21*'① 핵심 가정'!G6+'① 핵심 가정'!D21*'① 핵심 가정'!E21*'① 핵심 가정'!G7+'① 핵심 가정'!D21*'① 핵심 가정'!F21*'① 핵심 가정'!G8)*'① 핵심 가정'!C24</f>
        <v>2804696.685</v>
      </c>
      <c r="L19" s="32" t="n">
        <f aca="false">(L16-L17)*0.375*('① 핵심 가정'!D20*'① 핵심 가정'!G6+'① 핵심 가정'!D20*'① 핵심 가정'!E20*'① 핵심 가정'!G7+'① 핵심 가정'!D20*'① 핵심 가정'!F20*'① 핵심 가정'!G8)*'① 핵심 가정'!C24+(L16-L17)*0.625*('① 핵심 가정'!D21*'① 핵심 가정'!G6+'① 핵심 가정'!D21*'① 핵심 가정'!E21*'① 핵심 가정'!G7+'① 핵심 가정'!D21*'① 핵심 가정'!F21*'① 핵심 가정'!G8)*'① 핵심 가정'!C24</f>
        <v>3116329.65</v>
      </c>
      <c r="M19" s="32" t="n">
        <f aca="false">(M16-M17)*0.375*('① 핵심 가정'!D20*'① 핵심 가정'!G6+'① 핵심 가정'!D20*'① 핵심 가정'!E20*'① 핵심 가정'!G7+'① 핵심 가정'!D20*'① 핵심 가정'!F20*'① 핵심 가정'!G8)*'① 핵심 가정'!C24+(M16-M17)*0.625*('① 핵심 가정'!D21*'① 핵심 가정'!G6+'① 핵심 가정'!D21*'① 핵심 가정'!E21*'① 핵심 가정'!G7+'① 핵심 가정'!D21*'① 핵심 가정'!F21*'① 핵심 가정'!G8)*'① 핵심 가정'!C24</f>
        <v>3427962.615</v>
      </c>
      <c r="N19" s="32" t="n">
        <f aca="false">(N16-N17)*0.375*('① 핵심 가정'!D20*'① 핵심 가정'!G6+'① 핵심 가정'!D20*'① 핵심 가정'!E20*'① 핵심 가정'!G7+'① 핵심 가정'!D20*'① 핵심 가정'!F20*'① 핵심 가정'!G8)*'① 핵심 가정'!C24+(N16-N17)*0.625*('① 핵심 가정'!D21*'① 핵심 가정'!G6+'① 핵심 가정'!D21*'① 핵심 가정'!E21*'① 핵심 가정'!G7+'① 핵심 가정'!D21*'① 핵심 가정'!F21*'① 핵심 가정'!G8)*'① 핵심 가정'!C24</f>
        <v>3739595.58</v>
      </c>
      <c r="O19" s="48" t="n">
        <f aca="false">SUM(C19:N19)</f>
        <v>24307371.27</v>
      </c>
    </row>
    <row r="20" customFormat="false" ht="16.5" hidden="false" customHeight="true" outlineLevel="0" collapsed="false">
      <c r="B20" s="34" t="s">
        <v>83</v>
      </c>
      <c r="C20" s="37" t="n">
        <f aca="false">C18+C19</f>
        <v>976449.957</v>
      </c>
      <c r="D20" s="37" t="n">
        <f aca="false">D18+D19</f>
        <v>1952899.914</v>
      </c>
      <c r="E20" s="37" t="n">
        <f aca="false">E18+E19</f>
        <v>2929349.871</v>
      </c>
      <c r="F20" s="37" t="n">
        <f aca="false">F18+F19</f>
        <v>3905799.828</v>
      </c>
      <c r="G20" s="37" t="n">
        <f aca="false">G18+G19</f>
        <v>4882249.785</v>
      </c>
      <c r="H20" s="37" t="n">
        <f aca="false">H18+H19</f>
        <v>5858699.742</v>
      </c>
      <c r="I20" s="37" t="n">
        <f aca="false">I18+I19</f>
        <v>6835149.699</v>
      </c>
      <c r="J20" s="37" t="n">
        <f aca="false">J18+J19</f>
        <v>7811599.656</v>
      </c>
      <c r="K20" s="37" t="n">
        <f aca="false">K18+K19</f>
        <v>8788049.613</v>
      </c>
      <c r="L20" s="37" t="n">
        <f aca="false">L18+L19</f>
        <v>9764499.57</v>
      </c>
      <c r="M20" s="37" t="n">
        <f aca="false">M18+M19</f>
        <v>10740949.527</v>
      </c>
      <c r="N20" s="37" t="n">
        <f aca="false">N18+N19</f>
        <v>11717399.484</v>
      </c>
      <c r="O20" s="37" t="n">
        <f aca="false">SUM(C20:N20)</f>
        <v>76163096.646</v>
      </c>
    </row>
    <row r="21" customFormat="false" ht="16.5" hidden="false" customHeight="true" outlineLevel="0" collapsed="false">
      <c r="B21" s="49" t="s">
        <v>84</v>
      </c>
      <c r="C21" s="50" t="n">
        <f aca="false">C20</f>
        <v>976449.957</v>
      </c>
      <c r="D21" s="50" t="n">
        <f aca="false">C21+D20</f>
        <v>2929349.871</v>
      </c>
      <c r="E21" s="50" t="n">
        <f aca="false">D21+E20</f>
        <v>5858699.742</v>
      </c>
      <c r="F21" s="50" t="n">
        <f aca="false">E21+F20</f>
        <v>9764499.57</v>
      </c>
      <c r="G21" s="50" t="n">
        <f aca="false">F21+G20</f>
        <v>14646749.355</v>
      </c>
      <c r="H21" s="50" t="n">
        <f aca="false">G21+H20</f>
        <v>20505449.097</v>
      </c>
      <c r="I21" s="50" t="n">
        <f aca="false">H21+I20</f>
        <v>27340598.796</v>
      </c>
      <c r="J21" s="50" t="n">
        <f aca="false">I21+J20</f>
        <v>35152198.452</v>
      </c>
      <c r="K21" s="50" t="n">
        <f aca="false">J21+K20</f>
        <v>43940248.065</v>
      </c>
      <c r="L21" s="50" t="n">
        <f aca="false">K21+L20</f>
        <v>53704747.635</v>
      </c>
      <c r="M21" s="50" t="n">
        <f aca="false">L21+M20</f>
        <v>64445697.162</v>
      </c>
      <c r="N21" s="50" t="n">
        <f aca="false">M21+N20</f>
        <v>76163096.646</v>
      </c>
      <c r="O21" s="50" t="n">
        <f aca="false">N21</f>
        <v>76163096.646</v>
      </c>
    </row>
    <row r="22" customFormat="false" ht="15" hidden="false" customHeight="false" outlineLevel="0" collapsed="false"/>
    <row r="23" customFormat="false" ht="24" hidden="false" customHeight="true" outlineLevel="0" collapsed="false">
      <c r="B23" s="41" t="s">
        <v>86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customFormat="false" ht="18.75" hidden="false" customHeight="true" outlineLevel="0" collapsed="false">
      <c r="B24" s="5" t="s">
        <v>3</v>
      </c>
      <c r="C24" s="6" t="s">
        <v>67</v>
      </c>
      <c r="D24" s="6" t="s">
        <v>68</v>
      </c>
      <c r="E24" s="6" t="s">
        <v>69</v>
      </c>
      <c r="F24" s="6" t="s">
        <v>70</v>
      </c>
      <c r="G24" s="6" t="s">
        <v>71</v>
      </c>
      <c r="H24" s="6" t="s">
        <v>72</v>
      </c>
      <c r="I24" s="6" t="s">
        <v>73</v>
      </c>
      <c r="J24" s="6" t="s">
        <v>74</v>
      </c>
      <c r="K24" s="6" t="s">
        <v>75</v>
      </c>
      <c r="L24" s="6" t="s">
        <v>76</v>
      </c>
      <c r="M24" s="6" t="s">
        <v>77</v>
      </c>
      <c r="N24" s="6" t="s">
        <v>78</v>
      </c>
      <c r="O24" s="5" t="s">
        <v>79</v>
      </c>
    </row>
    <row r="25" customFormat="false" ht="16.5" hidden="false" customHeight="true" outlineLevel="0" collapsed="false">
      <c r="B25" s="19" t="s">
        <v>14</v>
      </c>
      <c r="C25" s="54" t="n">
        <v>10</v>
      </c>
      <c r="D25" s="20" t="n">
        <f aca="false">C25+10</f>
        <v>20</v>
      </c>
      <c r="E25" s="20" t="n">
        <f aca="false">D25+10</f>
        <v>30</v>
      </c>
      <c r="F25" s="20" t="n">
        <f aca="false">E25+10</f>
        <v>40</v>
      </c>
      <c r="G25" s="20" t="n">
        <f aca="false">F25+10</f>
        <v>50</v>
      </c>
      <c r="H25" s="20" t="n">
        <f aca="false">G25+10</f>
        <v>60</v>
      </c>
      <c r="I25" s="20" t="n">
        <f aca="false">H25+10</f>
        <v>70</v>
      </c>
      <c r="J25" s="20" t="n">
        <f aca="false">I25+10</f>
        <v>80</v>
      </c>
      <c r="K25" s="20" t="n">
        <f aca="false">J25+10</f>
        <v>90</v>
      </c>
      <c r="L25" s="20" t="n">
        <f aca="false">K25+10</f>
        <v>100</v>
      </c>
      <c r="M25" s="20" t="n">
        <f aca="false">L25+10</f>
        <v>110</v>
      </c>
      <c r="N25" s="20" t="n">
        <f aca="false">M25+10</f>
        <v>120</v>
      </c>
      <c r="O25" s="46" t="n">
        <f aca="false">N25</f>
        <v>120</v>
      </c>
    </row>
    <row r="26" customFormat="false" ht="16.5" hidden="false" customHeight="true" outlineLevel="0" collapsed="false">
      <c r="B26" s="19" t="s">
        <v>80</v>
      </c>
      <c r="C26" s="20" t="n">
        <f aca="false">ROUND(C25*0.2,0)</f>
        <v>2</v>
      </c>
      <c r="D26" s="20" t="n">
        <f aca="false">ROUND(D25*0.2,0)</f>
        <v>4</v>
      </c>
      <c r="E26" s="20" t="n">
        <f aca="false">ROUND(E25*0.2,0)</f>
        <v>6</v>
      </c>
      <c r="F26" s="20" t="n">
        <f aca="false">ROUND(F25*0.2,0)</f>
        <v>8</v>
      </c>
      <c r="G26" s="20" t="n">
        <f aca="false">ROUND(G25*0.2,0)</f>
        <v>10</v>
      </c>
      <c r="H26" s="20" t="n">
        <f aca="false">ROUND(H25*0.2,0)</f>
        <v>12</v>
      </c>
      <c r="I26" s="20" t="n">
        <f aca="false">ROUND(I25*0.2,0)</f>
        <v>14</v>
      </c>
      <c r="J26" s="20" t="n">
        <f aca="false">ROUND(J25*0.2,0)</f>
        <v>16</v>
      </c>
      <c r="K26" s="20" t="n">
        <f aca="false">ROUND(K25*0.2,0)</f>
        <v>18</v>
      </c>
      <c r="L26" s="20" t="n">
        <f aca="false">ROUND(L25*0.2,0)</f>
        <v>20</v>
      </c>
      <c r="M26" s="20" t="n">
        <f aca="false">ROUND(M25*0.2,0)</f>
        <v>22</v>
      </c>
      <c r="N26" s="20" t="n">
        <f aca="false">ROUND(N25*0.2,0)</f>
        <v>24</v>
      </c>
      <c r="O26" s="46" t="n">
        <f aca="false">ROUND(N25*0.2,0)</f>
        <v>24</v>
      </c>
    </row>
    <row r="27" customFormat="false" ht="16.5" hidden="false" customHeight="true" outlineLevel="0" collapsed="false">
      <c r="B27" s="19" t="s">
        <v>81</v>
      </c>
      <c r="C27" s="31" t="n">
        <f aca="false">C26*('① 핵심 가정'!D19*'① 핵심 가정'!G6+'① 핵심 가정'!D19*'① 핵심 가정'!E19*'① 핵심 가정'!G7+'① 핵심 가정'!D19*'① 핵심 가정'!F19*'① 핵심 가정'!G8)*'① 핵심 가정'!C24</f>
        <v>1329633.984</v>
      </c>
      <c r="D27" s="31" t="n">
        <f aca="false">D26*('① 핵심 가정'!D19*'① 핵심 가정'!G6+'① 핵심 가정'!D19*'① 핵심 가정'!E19*'① 핵심 가정'!G7+'① 핵심 가정'!D19*'① 핵심 가정'!F19*'① 핵심 가정'!G8)*'① 핵심 가정'!C24</f>
        <v>2659267.968</v>
      </c>
      <c r="E27" s="31" t="n">
        <f aca="false">E26*('① 핵심 가정'!D19*'① 핵심 가정'!G6+'① 핵심 가정'!D19*'① 핵심 가정'!E19*'① 핵심 가정'!G7+'① 핵심 가정'!D19*'① 핵심 가정'!F19*'① 핵심 가정'!G8)*'① 핵심 가정'!C24</f>
        <v>3988901.952</v>
      </c>
      <c r="F27" s="31" t="n">
        <f aca="false">F26*('① 핵심 가정'!D19*'① 핵심 가정'!G6+'① 핵심 가정'!D19*'① 핵심 가정'!E19*'① 핵심 가정'!G7+'① 핵심 가정'!D19*'① 핵심 가정'!F19*'① 핵심 가정'!G8)*'① 핵심 가정'!C24</f>
        <v>5318535.936</v>
      </c>
      <c r="G27" s="31" t="n">
        <f aca="false">G26*('① 핵심 가정'!D19*'① 핵심 가정'!G6+'① 핵심 가정'!D19*'① 핵심 가정'!E19*'① 핵심 가정'!G7+'① 핵심 가정'!D19*'① 핵심 가정'!F19*'① 핵심 가정'!G8)*'① 핵심 가정'!C24</f>
        <v>6648169.92</v>
      </c>
      <c r="H27" s="31" t="n">
        <f aca="false">H26*('① 핵심 가정'!D19*'① 핵심 가정'!G6+'① 핵심 가정'!D19*'① 핵심 가정'!E19*'① 핵심 가정'!G7+'① 핵심 가정'!D19*'① 핵심 가정'!F19*'① 핵심 가정'!G8)*'① 핵심 가정'!C24</f>
        <v>7977803.904</v>
      </c>
      <c r="I27" s="31" t="n">
        <f aca="false">I26*('① 핵심 가정'!D19*'① 핵심 가정'!G6+'① 핵심 가정'!D19*'① 핵심 가정'!E19*'① 핵심 가정'!G7+'① 핵심 가정'!D19*'① 핵심 가정'!F19*'① 핵심 가정'!G8)*'① 핵심 가정'!C24</f>
        <v>9307437.888</v>
      </c>
      <c r="J27" s="31" t="n">
        <f aca="false">J26*('① 핵심 가정'!D19*'① 핵심 가정'!G6+'① 핵심 가정'!D19*'① 핵심 가정'!E19*'① 핵심 가정'!G7+'① 핵심 가정'!D19*'① 핵심 가정'!F19*'① 핵심 가정'!G8)*'① 핵심 가정'!C24</f>
        <v>10637071.872</v>
      </c>
      <c r="K27" s="31" t="n">
        <f aca="false">K26*('① 핵심 가정'!D19*'① 핵심 가정'!G6+'① 핵심 가정'!D19*'① 핵심 가정'!E19*'① 핵심 가정'!G7+'① 핵심 가정'!D19*'① 핵심 가정'!F19*'① 핵심 가정'!G8)*'① 핵심 가정'!C24</f>
        <v>11966705.856</v>
      </c>
      <c r="L27" s="31" t="n">
        <f aca="false">L26*('① 핵심 가정'!D19*'① 핵심 가정'!G6+'① 핵심 가정'!D19*'① 핵심 가정'!E19*'① 핵심 가정'!G7+'① 핵심 가정'!D19*'① 핵심 가정'!F19*'① 핵심 가정'!G8)*'① 핵심 가정'!C24</f>
        <v>13296339.84</v>
      </c>
      <c r="M27" s="31" t="n">
        <f aca="false">M26*('① 핵심 가정'!D19*'① 핵심 가정'!G6+'① 핵심 가정'!D19*'① 핵심 가정'!E19*'① 핵심 가정'!G7+'① 핵심 가정'!D19*'① 핵심 가정'!F19*'① 핵심 가정'!G8)*'① 핵심 가정'!C24</f>
        <v>14625973.824</v>
      </c>
      <c r="N27" s="31" t="n">
        <f aca="false">N26*('① 핵심 가정'!D19*'① 핵심 가정'!G6+'① 핵심 가정'!D19*'① 핵심 가정'!E19*'① 핵심 가정'!G7+'① 핵심 가정'!D19*'① 핵심 가정'!F19*'① 핵심 가정'!G8)*'① 핵심 가정'!C24</f>
        <v>15955607.808</v>
      </c>
      <c r="O27" s="47" t="n">
        <f aca="false">SUM(C27:N27)</f>
        <v>103711450.752</v>
      </c>
    </row>
    <row r="28" customFormat="false" ht="16.5" hidden="false" customHeight="true" outlineLevel="0" collapsed="false">
      <c r="B28" s="23" t="s">
        <v>82</v>
      </c>
      <c r="C28" s="32" t="n">
        <f aca="false">(C25-C26)*0.375*('① 핵심 가정'!D20*'① 핵심 가정'!G6+'① 핵심 가정'!D20*'① 핵심 가정'!E20*'① 핵심 가정'!G7+'① 핵심 가정'!D20*'① 핵심 가정'!F20*'① 핵심 가정'!G8)*'① 핵심 가정'!C24+(C25-C26)*0.625*('① 핵심 가정'!D21*'① 핵심 가정'!G6+'① 핵심 가정'!D21*'① 핵심 가정'!E21*'① 핵심 가정'!G7+'① 핵심 가정'!D21*'① 핵심 가정'!F21*'① 핵심 가정'!G8)*'① 핵심 가정'!C24</f>
        <v>623265.93</v>
      </c>
      <c r="D28" s="32" t="n">
        <f aca="false">(D25-D26)*0.375*('① 핵심 가정'!D20*'① 핵심 가정'!G6+'① 핵심 가정'!D20*'① 핵심 가정'!E20*'① 핵심 가정'!G7+'① 핵심 가정'!D20*'① 핵심 가정'!F20*'① 핵심 가정'!G8)*'① 핵심 가정'!C24+(D25-D26)*0.625*('① 핵심 가정'!D21*'① 핵심 가정'!G6+'① 핵심 가정'!D21*'① 핵심 가정'!E21*'① 핵심 가정'!G7+'① 핵심 가정'!D21*'① 핵심 가정'!F21*'① 핵심 가정'!G8)*'① 핵심 가정'!C24</f>
        <v>1246531.86</v>
      </c>
      <c r="E28" s="32" t="n">
        <f aca="false">(E25-E26)*0.375*('① 핵심 가정'!D20*'① 핵심 가정'!G6+'① 핵심 가정'!D20*'① 핵심 가정'!E20*'① 핵심 가정'!G7+'① 핵심 가정'!D20*'① 핵심 가정'!F20*'① 핵심 가정'!G8)*'① 핵심 가정'!C24+(E25-E26)*0.625*('① 핵심 가정'!D21*'① 핵심 가정'!G6+'① 핵심 가정'!D21*'① 핵심 가정'!E21*'① 핵심 가정'!G7+'① 핵심 가정'!D21*'① 핵심 가정'!F21*'① 핵심 가정'!G8)*'① 핵심 가정'!C24</f>
        <v>1869797.79</v>
      </c>
      <c r="F28" s="32" t="n">
        <f aca="false">(F25-F26)*0.375*('① 핵심 가정'!D20*'① 핵심 가정'!G6+'① 핵심 가정'!D20*'① 핵심 가정'!E20*'① 핵심 가정'!G7+'① 핵심 가정'!D20*'① 핵심 가정'!F20*'① 핵심 가정'!G8)*'① 핵심 가정'!C24+(F25-F26)*0.625*('① 핵심 가정'!D21*'① 핵심 가정'!G6+'① 핵심 가정'!D21*'① 핵심 가정'!E21*'① 핵심 가정'!G7+'① 핵심 가정'!D21*'① 핵심 가정'!F21*'① 핵심 가정'!G8)*'① 핵심 가정'!C24</f>
        <v>2493063.72</v>
      </c>
      <c r="G28" s="32" t="n">
        <f aca="false">(G25-G26)*0.375*('① 핵심 가정'!D20*'① 핵심 가정'!G6+'① 핵심 가정'!D20*'① 핵심 가정'!E20*'① 핵심 가정'!G7+'① 핵심 가정'!D20*'① 핵심 가정'!F20*'① 핵심 가정'!G8)*'① 핵심 가정'!C24+(G25-G26)*0.625*('① 핵심 가정'!D21*'① 핵심 가정'!G6+'① 핵심 가정'!D21*'① 핵심 가정'!E21*'① 핵심 가정'!G7+'① 핵심 가정'!D21*'① 핵심 가정'!F21*'① 핵심 가정'!G8)*'① 핵심 가정'!C24</f>
        <v>3116329.65</v>
      </c>
      <c r="H28" s="32" t="n">
        <f aca="false">(H25-H26)*0.375*('① 핵심 가정'!D20*'① 핵심 가정'!G6+'① 핵심 가정'!D20*'① 핵심 가정'!E20*'① 핵심 가정'!G7+'① 핵심 가정'!D20*'① 핵심 가정'!F20*'① 핵심 가정'!G8)*'① 핵심 가정'!C24+(H25-H26)*0.625*('① 핵심 가정'!D21*'① 핵심 가정'!G6+'① 핵심 가정'!D21*'① 핵심 가정'!E21*'① 핵심 가정'!G7+'① 핵심 가정'!D21*'① 핵심 가정'!F21*'① 핵심 가정'!G8)*'① 핵심 가정'!C24</f>
        <v>3739595.58</v>
      </c>
      <c r="I28" s="32" t="n">
        <f aca="false">(I25-I26)*0.375*('① 핵심 가정'!D20*'① 핵심 가정'!G6+'① 핵심 가정'!D20*'① 핵심 가정'!E20*'① 핵심 가정'!G7+'① 핵심 가정'!D20*'① 핵심 가정'!F20*'① 핵심 가정'!G8)*'① 핵심 가정'!C24+(I25-I26)*0.625*('① 핵심 가정'!D21*'① 핵심 가정'!G6+'① 핵심 가정'!D21*'① 핵심 가정'!E21*'① 핵심 가정'!G7+'① 핵심 가정'!D21*'① 핵심 가정'!F21*'① 핵심 가정'!G8)*'① 핵심 가정'!C24</f>
        <v>4362861.51</v>
      </c>
      <c r="J28" s="32" t="n">
        <f aca="false">(J25-J26)*0.375*('① 핵심 가정'!D20*'① 핵심 가정'!G6+'① 핵심 가정'!D20*'① 핵심 가정'!E20*'① 핵심 가정'!G7+'① 핵심 가정'!D20*'① 핵심 가정'!F20*'① 핵심 가정'!G8)*'① 핵심 가정'!C24+(J25-J26)*0.625*('① 핵심 가정'!D21*'① 핵심 가정'!G6+'① 핵심 가정'!D21*'① 핵심 가정'!E21*'① 핵심 가정'!G7+'① 핵심 가정'!D21*'① 핵심 가정'!F21*'① 핵심 가정'!G8)*'① 핵심 가정'!C24</f>
        <v>4986127.44</v>
      </c>
      <c r="K28" s="32" t="n">
        <f aca="false">(K25-K26)*0.375*('① 핵심 가정'!D20*'① 핵심 가정'!G6+'① 핵심 가정'!D20*'① 핵심 가정'!E20*'① 핵심 가정'!G7+'① 핵심 가정'!D20*'① 핵심 가정'!F20*'① 핵심 가정'!G8)*'① 핵심 가정'!C24+(K25-K26)*0.625*('① 핵심 가정'!D21*'① 핵심 가정'!G6+'① 핵심 가정'!D21*'① 핵심 가정'!E21*'① 핵심 가정'!G7+'① 핵심 가정'!D21*'① 핵심 가정'!F21*'① 핵심 가정'!G8)*'① 핵심 가정'!C24</f>
        <v>5609393.37</v>
      </c>
      <c r="L28" s="32" t="n">
        <f aca="false">(L25-L26)*0.375*('① 핵심 가정'!D20*'① 핵심 가정'!G6+'① 핵심 가정'!D20*'① 핵심 가정'!E20*'① 핵심 가정'!G7+'① 핵심 가정'!D20*'① 핵심 가정'!F20*'① 핵심 가정'!G8)*'① 핵심 가정'!C24+(L25-L26)*0.625*('① 핵심 가정'!D21*'① 핵심 가정'!G6+'① 핵심 가정'!D21*'① 핵심 가정'!E21*'① 핵심 가정'!G7+'① 핵심 가정'!D21*'① 핵심 가정'!F21*'① 핵심 가정'!G8)*'① 핵심 가정'!C24</f>
        <v>6232659.3</v>
      </c>
      <c r="M28" s="32" t="n">
        <f aca="false">(M25-M26)*0.375*('① 핵심 가정'!D20*'① 핵심 가정'!G6+'① 핵심 가정'!D20*'① 핵심 가정'!E20*'① 핵심 가정'!G7+'① 핵심 가정'!D20*'① 핵심 가정'!F20*'① 핵심 가정'!G8)*'① 핵심 가정'!C24+(M25-M26)*0.625*('① 핵심 가정'!D21*'① 핵심 가정'!G6+'① 핵심 가정'!D21*'① 핵심 가정'!E21*'① 핵심 가정'!G7+'① 핵심 가정'!D21*'① 핵심 가정'!F21*'① 핵심 가정'!G8)*'① 핵심 가정'!C24</f>
        <v>6855925.23</v>
      </c>
      <c r="N28" s="32" t="n">
        <f aca="false">(N25-N26)*0.375*('① 핵심 가정'!D20*'① 핵심 가정'!G6+'① 핵심 가정'!D20*'① 핵심 가정'!E20*'① 핵심 가정'!G7+'① 핵심 가정'!D20*'① 핵심 가정'!F20*'① 핵심 가정'!G8)*'① 핵심 가정'!C24+(N25-N26)*0.625*('① 핵심 가정'!D21*'① 핵심 가정'!G6+'① 핵심 가정'!D21*'① 핵심 가정'!E21*'① 핵심 가정'!G7+'① 핵심 가정'!D21*'① 핵심 가정'!F21*'① 핵심 가정'!G8)*'① 핵심 가정'!C24</f>
        <v>7479191.16</v>
      </c>
      <c r="O28" s="48" t="n">
        <f aca="false">SUM(C28:N28)</f>
        <v>48614742.54</v>
      </c>
    </row>
    <row r="29" customFormat="false" ht="16.5" hidden="false" customHeight="true" outlineLevel="0" collapsed="false">
      <c r="B29" s="34" t="s">
        <v>83</v>
      </c>
      <c r="C29" s="37" t="n">
        <f aca="false">C27+C28</f>
        <v>1952899.914</v>
      </c>
      <c r="D29" s="37" t="n">
        <f aca="false">D27+D28</f>
        <v>3905799.828</v>
      </c>
      <c r="E29" s="37" t="n">
        <f aca="false">E27+E28</f>
        <v>5858699.742</v>
      </c>
      <c r="F29" s="37" t="n">
        <f aca="false">F27+F28</f>
        <v>7811599.656</v>
      </c>
      <c r="G29" s="37" t="n">
        <f aca="false">G27+G28</f>
        <v>9764499.57</v>
      </c>
      <c r="H29" s="37" t="n">
        <f aca="false">H27+H28</f>
        <v>11717399.484</v>
      </c>
      <c r="I29" s="37" t="n">
        <f aca="false">I27+I28</f>
        <v>13670299.398</v>
      </c>
      <c r="J29" s="37" t="n">
        <f aca="false">J27+J28</f>
        <v>15623199.312</v>
      </c>
      <c r="K29" s="37" t="n">
        <f aca="false">K27+K28</f>
        <v>17576099.226</v>
      </c>
      <c r="L29" s="37" t="n">
        <f aca="false">L27+L28</f>
        <v>19528999.14</v>
      </c>
      <c r="M29" s="37" t="n">
        <f aca="false">M27+M28</f>
        <v>21481899.054</v>
      </c>
      <c r="N29" s="37" t="n">
        <f aca="false">N27+N28</f>
        <v>23434798.968</v>
      </c>
      <c r="O29" s="37" t="n">
        <f aca="false">SUM(C29:N29)</f>
        <v>152326193.292</v>
      </c>
    </row>
    <row r="30" customFormat="false" ht="16.5" hidden="false" customHeight="true" outlineLevel="0" collapsed="false">
      <c r="B30" s="49" t="s">
        <v>84</v>
      </c>
      <c r="C30" s="50" t="n">
        <f aca="false">C29</f>
        <v>1952899.914</v>
      </c>
      <c r="D30" s="50" t="n">
        <f aca="false">C30+D29</f>
        <v>5858699.742</v>
      </c>
      <c r="E30" s="50" t="n">
        <f aca="false">D30+E29</f>
        <v>11717399.484</v>
      </c>
      <c r="F30" s="50" t="n">
        <f aca="false">E30+F29</f>
        <v>19528999.14</v>
      </c>
      <c r="G30" s="50" t="n">
        <f aca="false">F30+G29</f>
        <v>29293498.71</v>
      </c>
      <c r="H30" s="50" t="n">
        <f aca="false">G30+H29</f>
        <v>41010898.194</v>
      </c>
      <c r="I30" s="50" t="n">
        <f aca="false">H30+I29</f>
        <v>54681197.592</v>
      </c>
      <c r="J30" s="50" t="n">
        <f aca="false">I30+J29</f>
        <v>70304396.904</v>
      </c>
      <c r="K30" s="50" t="n">
        <f aca="false">J30+K29</f>
        <v>87880496.13</v>
      </c>
      <c r="L30" s="50" t="n">
        <f aca="false">K30+L29</f>
        <v>107409495.27</v>
      </c>
      <c r="M30" s="50" t="n">
        <f aca="false">L30+M29</f>
        <v>128891394.324</v>
      </c>
      <c r="N30" s="50" t="n">
        <f aca="false">M30+N29</f>
        <v>152326193.292</v>
      </c>
      <c r="O30" s="50" t="n">
        <f aca="false">N30</f>
        <v>152326193.292</v>
      </c>
    </row>
    <row r="31" customFormat="false" ht="15" hidden="false" customHeight="false" outlineLevel="0" collapsed="false"/>
    <row r="32" customFormat="false" ht="24" hidden="false" customHeight="true" outlineLevel="0" collapsed="false">
      <c r="B32" s="41" t="s">
        <v>87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</row>
    <row r="33" customFormat="false" ht="18.75" hidden="false" customHeight="true" outlineLevel="0" collapsed="false">
      <c r="B33" s="5" t="s">
        <v>3</v>
      </c>
      <c r="C33" s="6" t="s">
        <v>67</v>
      </c>
      <c r="D33" s="6" t="s">
        <v>68</v>
      </c>
      <c r="E33" s="6" t="s">
        <v>69</v>
      </c>
      <c r="F33" s="6" t="s">
        <v>70</v>
      </c>
      <c r="G33" s="6" t="s">
        <v>71</v>
      </c>
      <c r="H33" s="6" t="s">
        <v>72</v>
      </c>
      <c r="I33" s="6" t="s">
        <v>73</v>
      </c>
      <c r="J33" s="6" t="s">
        <v>74</v>
      </c>
      <c r="K33" s="6" t="s">
        <v>75</v>
      </c>
      <c r="L33" s="6" t="s">
        <v>76</v>
      </c>
      <c r="M33" s="6" t="s">
        <v>77</v>
      </c>
      <c r="N33" s="6" t="s">
        <v>78</v>
      </c>
      <c r="O33" s="5" t="s">
        <v>79</v>
      </c>
    </row>
    <row r="34" customFormat="false" ht="16.5" hidden="false" customHeight="true" outlineLevel="0" collapsed="false">
      <c r="B34" s="55" t="s">
        <v>14</v>
      </c>
      <c r="C34" s="56" t="n">
        <v>20</v>
      </c>
      <c r="D34" s="57" t="n">
        <f aca="false">C34+20</f>
        <v>40</v>
      </c>
      <c r="E34" s="57" t="n">
        <f aca="false">D34+20</f>
        <v>60</v>
      </c>
      <c r="F34" s="57" t="n">
        <f aca="false">E34+20</f>
        <v>80</v>
      </c>
      <c r="G34" s="57" t="n">
        <f aca="false">F34+20</f>
        <v>100</v>
      </c>
      <c r="H34" s="57" t="n">
        <f aca="false">G34+20</f>
        <v>120</v>
      </c>
      <c r="I34" s="57" t="n">
        <f aca="false">H34+20</f>
        <v>140</v>
      </c>
      <c r="J34" s="57" t="n">
        <f aca="false">I34+20</f>
        <v>160</v>
      </c>
      <c r="K34" s="57" t="n">
        <f aca="false">J34+20</f>
        <v>180</v>
      </c>
      <c r="L34" s="57" t="n">
        <f aca="false">K34+20</f>
        <v>200</v>
      </c>
      <c r="M34" s="57" t="n">
        <f aca="false">L34+20</f>
        <v>220</v>
      </c>
      <c r="N34" s="57" t="n">
        <f aca="false">M34+20</f>
        <v>240</v>
      </c>
      <c r="O34" s="58" t="n">
        <f aca="false">N34</f>
        <v>240</v>
      </c>
    </row>
    <row r="35" customFormat="false" ht="16.5" hidden="false" customHeight="true" outlineLevel="0" collapsed="false">
      <c r="B35" s="19" t="s">
        <v>80</v>
      </c>
      <c r="C35" s="20" t="n">
        <f aca="false">ROUND(C34*0.2,0)</f>
        <v>4</v>
      </c>
      <c r="D35" s="20" t="n">
        <f aca="false">ROUND(D34*0.2,0)</f>
        <v>8</v>
      </c>
      <c r="E35" s="20" t="n">
        <f aca="false">ROUND(E34*0.2,0)</f>
        <v>12</v>
      </c>
      <c r="F35" s="20" t="n">
        <f aca="false">ROUND(F34*0.2,0)</f>
        <v>16</v>
      </c>
      <c r="G35" s="20" t="n">
        <f aca="false">ROUND(G34*0.2,0)</f>
        <v>20</v>
      </c>
      <c r="H35" s="20" t="n">
        <f aca="false">ROUND(H34*0.2,0)</f>
        <v>24</v>
      </c>
      <c r="I35" s="20" t="n">
        <f aca="false">ROUND(I34*0.2,0)</f>
        <v>28</v>
      </c>
      <c r="J35" s="20" t="n">
        <f aca="false">ROUND(J34*0.2,0)</f>
        <v>32</v>
      </c>
      <c r="K35" s="20" t="n">
        <f aca="false">ROUND(K34*0.2,0)</f>
        <v>36</v>
      </c>
      <c r="L35" s="20" t="n">
        <f aca="false">ROUND(L34*0.2,0)</f>
        <v>40</v>
      </c>
      <c r="M35" s="20" t="n">
        <f aca="false">ROUND(M34*0.2,0)</f>
        <v>44</v>
      </c>
      <c r="N35" s="20" t="n">
        <f aca="false">ROUND(N34*0.2,0)</f>
        <v>48</v>
      </c>
      <c r="O35" s="46" t="n">
        <f aca="false">ROUND(N34*0.2,0)</f>
        <v>48</v>
      </c>
    </row>
    <row r="36" customFormat="false" ht="16.5" hidden="false" customHeight="true" outlineLevel="0" collapsed="false">
      <c r="B36" s="19" t="s">
        <v>81</v>
      </c>
      <c r="C36" s="31" t="n">
        <f aca="false">C35*('① 핵심 가정'!D19*'① 핵심 가정'!G6+'① 핵심 가정'!D19*'① 핵심 가정'!E19*'① 핵심 가정'!G7+'① 핵심 가정'!D19*'① 핵심 가정'!F19*'① 핵심 가정'!G8)*'① 핵심 가정'!C24</f>
        <v>2659267.968</v>
      </c>
      <c r="D36" s="31" t="n">
        <f aca="false">D35*('① 핵심 가정'!D19*'① 핵심 가정'!G6+'① 핵심 가정'!D19*'① 핵심 가정'!E19*'① 핵심 가정'!G7+'① 핵심 가정'!D19*'① 핵심 가정'!F19*'① 핵심 가정'!G8)*'① 핵심 가정'!C24</f>
        <v>5318535.936</v>
      </c>
      <c r="E36" s="31" t="n">
        <f aca="false">E35*('① 핵심 가정'!D19*'① 핵심 가정'!G6+'① 핵심 가정'!D19*'① 핵심 가정'!E19*'① 핵심 가정'!G7+'① 핵심 가정'!D19*'① 핵심 가정'!F19*'① 핵심 가정'!G8)*'① 핵심 가정'!C24</f>
        <v>7977803.904</v>
      </c>
      <c r="F36" s="31" t="n">
        <f aca="false">F35*('① 핵심 가정'!D19*'① 핵심 가정'!G6+'① 핵심 가정'!D19*'① 핵심 가정'!E19*'① 핵심 가정'!G7+'① 핵심 가정'!D19*'① 핵심 가정'!F19*'① 핵심 가정'!G8)*'① 핵심 가정'!C24</f>
        <v>10637071.872</v>
      </c>
      <c r="G36" s="31" t="n">
        <f aca="false">G35*('① 핵심 가정'!D19*'① 핵심 가정'!G6+'① 핵심 가정'!D19*'① 핵심 가정'!E19*'① 핵심 가정'!G7+'① 핵심 가정'!D19*'① 핵심 가정'!F19*'① 핵심 가정'!G8)*'① 핵심 가정'!C24</f>
        <v>13296339.84</v>
      </c>
      <c r="H36" s="31" t="n">
        <f aca="false">H35*('① 핵심 가정'!D19*'① 핵심 가정'!G6+'① 핵심 가정'!D19*'① 핵심 가정'!E19*'① 핵심 가정'!G7+'① 핵심 가정'!D19*'① 핵심 가정'!F19*'① 핵심 가정'!G8)*'① 핵심 가정'!C24</f>
        <v>15955607.808</v>
      </c>
      <c r="I36" s="31" t="n">
        <f aca="false">I35*('① 핵심 가정'!D19*'① 핵심 가정'!G6+'① 핵심 가정'!D19*'① 핵심 가정'!E19*'① 핵심 가정'!G7+'① 핵심 가정'!D19*'① 핵심 가정'!F19*'① 핵심 가정'!G8)*'① 핵심 가정'!C24</f>
        <v>18614875.776</v>
      </c>
      <c r="J36" s="31" t="n">
        <f aca="false">J35*('① 핵심 가정'!D19*'① 핵심 가정'!G6+'① 핵심 가정'!D19*'① 핵심 가정'!E19*'① 핵심 가정'!G7+'① 핵심 가정'!D19*'① 핵심 가정'!F19*'① 핵심 가정'!G8)*'① 핵심 가정'!C24</f>
        <v>21274143.744</v>
      </c>
      <c r="K36" s="31" t="n">
        <f aca="false">K35*('① 핵심 가정'!D19*'① 핵심 가정'!G6+'① 핵심 가정'!D19*'① 핵심 가정'!E19*'① 핵심 가정'!G7+'① 핵심 가정'!D19*'① 핵심 가정'!F19*'① 핵심 가정'!G8)*'① 핵심 가정'!C24</f>
        <v>23933411.712</v>
      </c>
      <c r="L36" s="31" t="n">
        <f aca="false">L35*('① 핵심 가정'!D19*'① 핵심 가정'!G6+'① 핵심 가정'!D19*'① 핵심 가정'!E19*'① 핵심 가정'!G7+'① 핵심 가정'!D19*'① 핵심 가정'!F19*'① 핵심 가정'!G8)*'① 핵심 가정'!C24</f>
        <v>26592679.68</v>
      </c>
      <c r="M36" s="31" t="n">
        <f aca="false">M35*('① 핵심 가정'!D19*'① 핵심 가정'!G6+'① 핵심 가정'!D19*'① 핵심 가정'!E19*'① 핵심 가정'!G7+'① 핵심 가정'!D19*'① 핵심 가정'!F19*'① 핵심 가정'!G8)*'① 핵심 가정'!C24</f>
        <v>29251947.648</v>
      </c>
      <c r="N36" s="31" t="n">
        <f aca="false">N35*('① 핵심 가정'!D19*'① 핵심 가정'!G6+'① 핵심 가정'!D19*'① 핵심 가정'!E19*'① 핵심 가정'!G7+'① 핵심 가정'!D19*'① 핵심 가정'!F19*'① 핵심 가정'!G8)*'① 핵심 가정'!C24</f>
        <v>31911215.616</v>
      </c>
      <c r="O36" s="47" t="n">
        <f aca="false">SUM(C36:N36)</f>
        <v>207422901.504</v>
      </c>
    </row>
    <row r="37" customFormat="false" ht="16.5" hidden="false" customHeight="true" outlineLevel="0" collapsed="false">
      <c r="B37" s="23" t="s">
        <v>82</v>
      </c>
      <c r="C37" s="32" t="n">
        <f aca="false">(C34-C35)*0.375*('① 핵심 가정'!D20*'① 핵심 가정'!G6+'① 핵심 가정'!D20*'① 핵심 가정'!E20*'① 핵심 가정'!G7+'① 핵심 가정'!D20*'① 핵심 가정'!F20*'① 핵심 가정'!G8)*'① 핵심 가정'!C24+(C34-C35)*0.625*('① 핵심 가정'!D21*'① 핵심 가정'!G6+'① 핵심 가정'!D21*'① 핵심 가정'!E21*'① 핵심 가정'!G7+'① 핵심 가정'!D21*'① 핵심 가정'!F21*'① 핵심 가정'!G8)*'① 핵심 가정'!C24</f>
        <v>1246531.86</v>
      </c>
      <c r="D37" s="32" t="n">
        <f aca="false">(D34-D35)*0.375*('① 핵심 가정'!D20*'① 핵심 가정'!G6+'① 핵심 가정'!D20*'① 핵심 가정'!E20*'① 핵심 가정'!G7+'① 핵심 가정'!D20*'① 핵심 가정'!F20*'① 핵심 가정'!G8)*'① 핵심 가정'!C24+(D34-D35)*0.625*('① 핵심 가정'!D21*'① 핵심 가정'!G6+'① 핵심 가정'!D21*'① 핵심 가정'!E21*'① 핵심 가정'!G7+'① 핵심 가정'!D21*'① 핵심 가정'!F21*'① 핵심 가정'!G8)*'① 핵심 가정'!C24</f>
        <v>2493063.72</v>
      </c>
      <c r="E37" s="32" t="n">
        <f aca="false">(E34-E35)*0.375*('① 핵심 가정'!D20*'① 핵심 가정'!G6+'① 핵심 가정'!D20*'① 핵심 가정'!E20*'① 핵심 가정'!G7+'① 핵심 가정'!D20*'① 핵심 가정'!F20*'① 핵심 가정'!G8)*'① 핵심 가정'!C24+(E34-E35)*0.625*('① 핵심 가정'!D21*'① 핵심 가정'!G6+'① 핵심 가정'!D21*'① 핵심 가정'!E21*'① 핵심 가정'!G7+'① 핵심 가정'!D21*'① 핵심 가정'!F21*'① 핵심 가정'!G8)*'① 핵심 가정'!C24</f>
        <v>3739595.58</v>
      </c>
      <c r="F37" s="32" t="n">
        <f aca="false">(F34-F35)*0.375*('① 핵심 가정'!D20*'① 핵심 가정'!G6+'① 핵심 가정'!D20*'① 핵심 가정'!E20*'① 핵심 가정'!G7+'① 핵심 가정'!D20*'① 핵심 가정'!F20*'① 핵심 가정'!G8)*'① 핵심 가정'!C24+(F34-F35)*0.625*('① 핵심 가정'!D21*'① 핵심 가정'!G6+'① 핵심 가정'!D21*'① 핵심 가정'!E21*'① 핵심 가정'!G7+'① 핵심 가정'!D21*'① 핵심 가정'!F21*'① 핵심 가정'!G8)*'① 핵심 가정'!C24</f>
        <v>4986127.44</v>
      </c>
      <c r="G37" s="32" t="n">
        <f aca="false">(G34-G35)*0.375*('① 핵심 가정'!D20*'① 핵심 가정'!G6+'① 핵심 가정'!D20*'① 핵심 가정'!E20*'① 핵심 가정'!G7+'① 핵심 가정'!D20*'① 핵심 가정'!F20*'① 핵심 가정'!G8)*'① 핵심 가정'!C24+(G34-G35)*0.625*('① 핵심 가정'!D21*'① 핵심 가정'!G6+'① 핵심 가정'!D21*'① 핵심 가정'!E21*'① 핵심 가정'!G7+'① 핵심 가정'!D21*'① 핵심 가정'!F21*'① 핵심 가정'!G8)*'① 핵심 가정'!C24</f>
        <v>6232659.3</v>
      </c>
      <c r="H37" s="32" t="n">
        <f aca="false">(H34-H35)*0.375*('① 핵심 가정'!D20*'① 핵심 가정'!G6+'① 핵심 가정'!D20*'① 핵심 가정'!E20*'① 핵심 가정'!G7+'① 핵심 가정'!D20*'① 핵심 가정'!F20*'① 핵심 가정'!G8)*'① 핵심 가정'!C24+(H34-H35)*0.625*('① 핵심 가정'!D21*'① 핵심 가정'!G6+'① 핵심 가정'!D21*'① 핵심 가정'!E21*'① 핵심 가정'!G7+'① 핵심 가정'!D21*'① 핵심 가정'!F21*'① 핵심 가정'!G8)*'① 핵심 가정'!C24</f>
        <v>7479191.16</v>
      </c>
      <c r="I37" s="32" t="n">
        <f aca="false">(I34-I35)*0.375*('① 핵심 가정'!D20*'① 핵심 가정'!G6+'① 핵심 가정'!D20*'① 핵심 가정'!E20*'① 핵심 가정'!G7+'① 핵심 가정'!D20*'① 핵심 가정'!F20*'① 핵심 가정'!G8)*'① 핵심 가정'!C24+(I34-I35)*0.625*('① 핵심 가정'!D21*'① 핵심 가정'!G6+'① 핵심 가정'!D21*'① 핵심 가정'!E21*'① 핵심 가정'!G7+'① 핵심 가정'!D21*'① 핵심 가정'!F21*'① 핵심 가정'!G8)*'① 핵심 가정'!C24</f>
        <v>8725723.02</v>
      </c>
      <c r="J37" s="32" t="n">
        <f aca="false">(J34-J35)*0.375*('① 핵심 가정'!D20*'① 핵심 가정'!G6+'① 핵심 가정'!D20*'① 핵심 가정'!E20*'① 핵심 가정'!G7+'① 핵심 가정'!D20*'① 핵심 가정'!F20*'① 핵심 가정'!G8)*'① 핵심 가정'!C24+(J34-J35)*0.625*('① 핵심 가정'!D21*'① 핵심 가정'!G6+'① 핵심 가정'!D21*'① 핵심 가정'!E21*'① 핵심 가정'!G7+'① 핵심 가정'!D21*'① 핵심 가정'!F21*'① 핵심 가정'!G8)*'① 핵심 가정'!C24</f>
        <v>9972254.88</v>
      </c>
      <c r="K37" s="32" t="n">
        <f aca="false">(K34-K35)*0.375*('① 핵심 가정'!D20*'① 핵심 가정'!G6+'① 핵심 가정'!D20*'① 핵심 가정'!E20*'① 핵심 가정'!G7+'① 핵심 가정'!D20*'① 핵심 가정'!F20*'① 핵심 가정'!G8)*'① 핵심 가정'!C24+(K34-K35)*0.625*('① 핵심 가정'!D21*'① 핵심 가정'!G6+'① 핵심 가정'!D21*'① 핵심 가정'!E21*'① 핵심 가정'!G7+'① 핵심 가정'!D21*'① 핵심 가정'!F21*'① 핵심 가정'!G8)*'① 핵심 가정'!C24</f>
        <v>11218786.74</v>
      </c>
      <c r="L37" s="32" t="n">
        <f aca="false">(L34-L35)*0.375*('① 핵심 가정'!D20*'① 핵심 가정'!G6+'① 핵심 가정'!D20*'① 핵심 가정'!E20*'① 핵심 가정'!G7+'① 핵심 가정'!D20*'① 핵심 가정'!F20*'① 핵심 가정'!G8)*'① 핵심 가정'!C24+(L34-L35)*0.625*('① 핵심 가정'!D21*'① 핵심 가정'!G6+'① 핵심 가정'!D21*'① 핵심 가정'!E21*'① 핵심 가정'!G7+'① 핵심 가정'!D21*'① 핵심 가정'!F21*'① 핵심 가정'!G8)*'① 핵심 가정'!C24</f>
        <v>12465318.6</v>
      </c>
      <c r="M37" s="32" t="n">
        <f aca="false">(M34-M35)*0.375*('① 핵심 가정'!D20*'① 핵심 가정'!G6+'① 핵심 가정'!D20*'① 핵심 가정'!E20*'① 핵심 가정'!G7+'① 핵심 가정'!D20*'① 핵심 가정'!F20*'① 핵심 가정'!G8)*'① 핵심 가정'!C24+(M34-M35)*0.625*('① 핵심 가정'!D21*'① 핵심 가정'!G6+'① 핵심 가정'!D21*'① 핵심 가정'!E21*'① 핵심 가정'!G7+'① 핵심 가정'!D21*'① 핵심 가정'!F21*'① 핵심 가정'!G8)*'① 핵심 가정'!C24</f>
        <v>13711850.46</v>
      </c>
      <c r="N37" s="32" t="n">
        <f aca="false">(N34-N35)*0.375*('① 핵심 가정'!D20*'① 핵심 가정'!G6+'① 핵심 가정'!D20*'① 핵심 가정'!E20*'① 핵심 가정'!G7+'① 핵심 가정'!D20*'① 핵심 가정'!F20*'① 핵심 가정'!G8)*'① 핵심 가정'!C24+(N34-N35)*0.625*('① 핵심 가정'!D21*'① 핵심 가정'!G6+'① 핵심 가정'!D21*'① 핵심 가정'!E21*'① 핵심 가정'!G7+'① 핵심 가정'!D21*'① 핵심 가정'!F21*'① 핵심 가정'!G8)*'① 핵심 가정'!C24</f>
        <v>14958382.32</v>
      </c>
      <c r="O37" s="48" t="n">
        <f aca="false">SUM(C37:N37)</f>
        <v>97229485.08</v>
      </c>
    </row>
    <row r="38" customFormat="false" ht="16.5" hidden="false" customHeight="true" outlineLevel="0" collapsed="false">
      <c r="B38" s="34" t="s">
        <v>83</v>
      </c>
      <c r="C38" s="37" t="n">
        <f aca="false">C36+C37</f>
        <v>3905799.828</v>
      </c>
      <c r="D38" s="37" t="n">
        <f aca="false">D36+D37</f>
        <v>7811599.656</v>
      </c>
      <c r="E38" s="37" t="n">
        <f aca="false">E36+E37</f>
        <v>11717399.484</v>
      </c>
      <c r="F38" s="37" t="n">
        <f aca="false">F36+F37</f>
        <v>15623199.312</v>
      </c>
      <c r="G38" s="37" t="n">
        <f aca="false">G36+G37</f>
        <v>19528999.14</v>
      </c>
      <c r="H38" s="37" t="n">
        <f aca="false">H36+H37</f>
        <v>23434798.968</v>
      </c>
      <c r="I38" s="37" t="n">
        <f aca="false">I36+I37</f>
        <v>27340598.796</v>
      </c>
      <c r="J38" s="37" t="n">
        <f aca="false">J36+J37</f>
        <v>31246398.624</v>
      </c>
      <c r="K38" s="37" t="n">
        <f aca="false">K36+K37</f>
        <v>35152198.452</v>
      </c>
      <c r="L38" s="37" t="n">
        <f aca="false">L36+L37</f>
        <v>39057998.28</v>
      </c>
      <c r="M38" s="37" t="n">
        <f aca="false">M36+M37</f>
        <v>42963798.108</v>
      </c>
      <c r="N38" s="37" t="n">
        <f aca="false">N36+N37</f>
        <v>46869597.936</v>
      </c>
      <c r="O38" s="37" t="n">
        <f aca="false">SUM(C38:N38)</f>
        <v>304652386.584</v>
      </c>
    </row>
    <row r="39" customFormat="false" ht="16.5" hidden="false" customHeight="true" outlineLevel="0" collapsed="false">
      <c r="B39" s="49" t="s">
        <v>84</v>
      </c>
      <c r="C39" s="50" t="n">
        <f aca="false">C38</f>
        <v>3905799.828</v>
      </c>
      <c r="D39" s="50" t="n">
        <f aca="false">C39+D38</f>
        <v>11717399.484</v>
      </c>
      <c r="E39" s="50" t="n">
        <f aca="false">D39+E38</f>
        <v>23434798.968</v>
      </c>
      <c r="F39" s="50" t="n">
        <f aca="false">E39+F38</f>
        <v>39057998.28</v>
      </c>
      <c r="G39" s="50" t="n">
        <f aca="false">F39+G38</f>
        <v>58586997.42</v>
      </c>
      <c r="H39" s="50" t="n">
        <f aca="false">G39+H38</f>
        <v>82021796.388</v>
      </c>
      <c r="I39" s="50" t="n">
        <f aca="false">H39+I38</f>
        <v>109362395.184</v>
      </c>
      <c r="J39" s="50" t="n">
        <f aca="false">I39+J38</f>
        <v>140608793.808</v>
      </c>
      <c r="K39" s="50" t="n">
        <f aca="false">J39+K38</f>
        <v>175760992.26</v>
      </c>
      <c r="L39" s="50" t="n">
        <f aca="false">K39+L38</f>
        <v>214818990.54</v>
      </c>
      <c r="M39" s="50" t="n">
        <f aca="false">L39+M38</f>
        <v>257782788.648</v>
      </c>
      <c r="N39" s="50" t="n">
        <f aca="false">M39+N38</f>
        <v>304652386.584</v>
      </c>
      <c r="O39" s="50" t="n">
        <f aca="false">N39</f>
        <v>304652386.584</v>
      </c>
    </row>
  </sheetData>
  <mergeCells count="7">
    <mergeCell ref="B1:P1"/>
    <mergeCell ref="B2:P2"/>
    <mergeCell ref="B4:P4"/>
    <mergeCell ref="B5:P5"/>
    <mergeCell ref="B14:P14"/>
    <mergeCell ref="B23:P23"/>
    <mergeCell ref="B32:P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28"/>
    <col collapsed="false" customWidth="true" hidden="false" outlineLevel="0" max="4" min="4" style="1" width="20"/>
    <col collapsed="false" customWidth="true" hidden="false" outlineLevel="0" max="5" min="5" style="1" width="36"/>
    <col collapsed="false" customWidth="true" hidden="false" outlineLevel="0" max="7" min="6" style="1" width="32"/>
  </cols>
  <sheetData>
    <row r="1" customFormat="false" ht="31.5" hidden="false" customHeight="true" outlineLevel="0" collapsed="false">
      <c r="B1" s="29" t="s">
        <v>88</v>
      </c>
      <c r="C1" s="29"/>
      <c r="D1" s="29"/>
      <c r="E1" s="29"/>
      <c r="F1" s="29"/>
      <c r="G1" s="29"/>
      <c r="H1" s="29"/>
      <c r="I1" s="29"/>
      <c r="J1" s="29"/>
    </row>
    <row r="2" customFormat="false" ht="15" hidden="false" customHeight="true" outlineLevel="0" collapsed="false">
      <c r="B2" s="59" t="s">
        <v>89</v>
      </c>
      <c r="C2" s="59"/>
      <c r="D2" s="59"/>
      <c r="E2" s="59"/>
      <c r="F2" s="59"/>
      <c r="G2" s="59"/>
      <c r="H2" s="59"/>
      <c r="I2" s="59"/>
      <c r="J2" s="59"/>
    </row>
    <row r="3" customFormat="false" ht="7.5" hidden="false" customHeight="true" outlineLevel="0" collapsed="false"/>
    <row r="4" customFormat="false" ht="15" hidden="false" customHeight="true" outlineLevel="0" collapsed="false">
      <c r="B4" s="4" t="s">
        <v>90</v>
      </c>
      <c r="C4" s="4"/>
      <c r="D4" s="4"/>
      <c r="E4" s="4"/>
      <c r="F4" s="4"/>
      <c r="G4" s="4"/>
      <c r="H4" s="4"/>
      <c r="I4" s="4"/>
      <c r="J4" s="4"/>
    </row>
    <row r="5" customFormat="false" ht="15" hidden="false" customHeight="true" outlineLevel="0" collapsed="false">
      <c r="B5" s="5" t="s">
        <v>91</v>
      </c>
      <c r="C5" s="5" t="s">
        <v>92</v>
      </c>
      <c r="D5" s="5" t="s">
        <v>93</v>
      </c>
      <c r="E5" s="5" t="s">
        <v>94</v>
      </c>
      <c r="F5" s="5" t="s">
        <v>95</v>
      </c>
      <c r="G5" s="5" t="s">
        <v>96</v>
      </c>
    </row>
    <row r="6" customFormat="false" ht="39.75" hidden="false" customHeight="true" outlineLevel="0" collapsed="false">
      <c r="B6" s="60" t="s">
        <v>97</v>
      </c>
      <c r="C6" s="61" t="s">
        <v>98</v>
      </c>
      <c r="D6" s="62" t="s">
        <v>99</v>
      </c>
      <c r="E6" s="62" t="s">
        <v>100</v>
      </c>
      <c r="F6" s="62" t="s">
        <v>101</v>
      </c>
      <c r="G6" s="62" t="s">
        <v>102</v>
      </c>
    </row>
    <row r="7" customFormat="false" ht="39.75" hidden="false" customHeight="true" outlineLevel="0" collapsed="false">
      <c r="B7" s="63" t="s">
        <v>103</v>
      </c>
      <c r="C7" s="64" t="s">
        <v>104</v>
      </c>
      <c r="D7" s="65" t="s">
        <v>105</v>
      </c>
      <c r="E7" s="65" t="s">
        <v>106</v>
      </c>
      <c r="F7" s="65" t="s">
        <v>107</v>
      </c>
      <c r="G7" s="65" t="s">
        <v>108</v>
      </c>
    </row>
    <row r="8" customFormat="false" ht="39.75" hidden="false" customHeight="true" outlineLevel="0" collapsed="false">
      <c r="B8" s="66" t="s">
        <v>109</v>
      </c>
      <c r="C8" s="67" t="s">
        <v>110</v>
      </c>
      <c r="D8" s="68" t="s">
        <v>111</v>
      </c>
      <c r="E8" s="68" t="s">
        <v>112</v>
      </c>
      <c r="F8" s="69" t="s">
        <v>113</v>
      </c>
      <c r="G8" s="68" t="s">
        <v>114</v>
      </c>
    </row>
    <row r="9" customFormat="false" ht="39.75" hidden="false" customHeight="true" outlineLevel="0" collapsed="false">
      <c r="B9" s="70" t="s">
        <v>115</v>
      </c>
      <c r="C9" s="71" t="s">
        <v>116</v>
      </c>
      <c r="D9" s="72" t="s">
        <v>117</v>
      </c>
      <c r="E9" s="73" t="s">
        <v>118</v>
      </c>
      <c r="F9" s="72" t="s">
        <v>119</v>
      </c>
      <c r="G9" s="72" t="s">
        <v>120</v>
      </c>
    </row>
    <row r="10" customFormat="false" ht="7.5" hidden="false" customHeight="true" outlineLevel="0" collapsed="false"/>
    <row r="11" customFormat="false" ht="16.5" hidden="false" customHeight="true" outlineLevel="0" collapsed="false">
      <c r="B11" s="4" t="s">
        <v>121</v>
      </c>
      <c r="C11" s="4"/>
      <c r="D11" s="4"/>
      <c r="E11" s="4"/>
      <c r="F11" s="4"/>
      <c r="G11" s="4"/>
      <c r="H11" s="4"/>
      <c r="I11" s="4"/>
      <c r="J11" s="4"/>
    </row>
    <row r="12" customFormat="false" ht="15" hidden="false" customHeight="true" outlineLevel="0" collapsed="false">
      <c r="B12" s="5" t="s">
        <v>122</v>
      </c>
      <c r="C12" s="5" t="s">
        <v>123</v>
      </c>
      <c r="D12" s="5" t="s">
        <v>124</v>
      </c>
      <c r="E12" s="5" t="s">
        <v>125</v>
      </c>
    </row>
    <row r="13" customFormat="false" ht="36" hidden="false" customHeight="true" outlineLevel="0" collapsed="false">
      <c r="B13" s="62" t="s">
        <v>126</v>
      </c>
      <c r="C13" s="62" t="s">
        <v>127</v>
      </c>
      <c r="D13" s="62" t="s">
        <v>128</v>
      </c>
      <c r="E13" s="74" t="s">
        <v>129</v>
      </c>
    </row>
    <row r="14" customFormat="false" ht="36" hidden="false" customHeight="true" outlineLevel="0" collapsed="false">
      <c r="B14" s="75" t="s">
        <v>130</v>
      </c>
      <c r="C14" s="76" t="s">
        <v>131</v>
      </c>
      <c r="D14" s="75" t="s">
        <v>132</v>
      </c>
      <c r="E14" s="76" t="s">
        <v>133</v>
      </c>
    </row>
    <row r="15" customFormat="false" ht="36" hidden="false" customHeight="true" outlineLevel="0" collapsed="false">
      <c r="B15" s="77" t="s">
        <v>134</v>
      </c>
      <c r="C15" s="77" t="s">
        <v>135</v>
      </c>
      <c r="D15" s="77" t="s">
        <v>136</v>
      </c>
      <c r="E15" s="77" t="s">
        <v>137</v>
      </c>
    </row>
    <row r="16" customFormat="false" ht="36" hidden="false" customHeight="true" outlineLevel="0" collapsed="false">
      <c r="B16" s="75" t="s">
        <v>138</v>
      </c>
      <c r="C16" s="76" t="s">
        <v>139</v>
      </c>
      <c r="D16" s="75" t="s">
        <v>140</v>
      </c>
      <c r="E16" s="76" t="s">
        <v>141</v>
      </c>
    </row>
    <row r="17" customFormat="false" ht="7.5" hidden="false" customHeight="true" outlineLevel="0" collapsed="false"/>
    <row r="18" customFormat="false" ht="24" hidden="false" customHeight="true" outlineLevel="0" collapsed="false">
      <c r="B18" s="40" t="s">
        <v>142</v>
      </c>
      <c r="C18" s="40"/>
      <c r="D18" s="40"/>
      <c r="E18" s="40"/>
      <c r="F18" s="40"/>
      <c r="G18" s="40"/>
      <c r="H18" s="40"/>
      <c r="I18" s="40"/>
      <c r="J18" s="40"/>
    </row>
    <row r="19" customFormat="false" ht="24" hidden="false" customHeight="true" outlineLevel="0" collapsed="false">
      <c r="B19" s="40"/>
      <c r="C19" s="40"/>
      <c r="D19" s="40"/>
      <c r="E19" s="40"/>
      <c r="F19" s="40"/>
      <c r="G19" s="40"/>
      <c r="H19" s="40"/>
      <c r="I19" s="40"/>
      <c r="J19" s="40"/>
    </row>
    <row r="20" customFormat="false" ht="24" hidden="false" customHeight="true" outlineLevel="0" collapsed="false">
      <c r="B20" s="40"/>
      <c r="C20" s="40"/>
      <c r="D20" s="40"/>
      <c r="E20" s="40"/>
      <c r="F20" s="40"/>
      <c r="G20" s="40"/>
      <c r="H20" s="40"/>
      <c r="I20" s="40"/>
      <c r="J20" s="40"/>
    </row>
  </sheetData>
  <mergeCells count="5">
    <mergeCell ref="B1:J1"/>
    <mergeCell ref="B2:J2"/>
    <mergeCell ref="B4:J4"/>
    <mergeCell ref="B11:J11"/>
    <mergeCell ref="B18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2026-02-22T12:14:53Z</dcterms:created>
  <dc:creator>openpyxl</dc:creator>
  <dc:description/>
  <dc:language>en-US</dc:language>
  <cp:lastModifiedBy/>
  <dcterms:modified xsi:type="dcterms:W3CDTF">2026-02-22T12:17:55Z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