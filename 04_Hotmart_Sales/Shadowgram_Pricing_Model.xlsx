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가격 전략" sheetId="1" state="visible" r:id="rId3"/>
    <sheet name="② 월별 수익 시뮬레이션" sheetId="2" state="visible" r:id="rId4"/>
    <sheet name="③ 시나리오 비교" sheetId="3" state="visible" r:id="rId5"/>
    <sheet name="④ 손익분기 계산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<sst xmlns="http://schemas.openxmlformats.org/spreadsheetml/2006/main" count="160" uniqueCount="148">
  <si>
    <r>
      <rPr>
        <b val="true"/>
        <sz val="16"/>
        <color rgb="FFFFFFFF"/>
        <rFont val="Arial"/>
        <family val="0"/>
        <charset val="1"/>
      </rPr>
      <t xml:space="preserve">SHADOWGRAM  |  </t>
    </r>
    <r>
      <rPr>
        <b val="true"/>
        <sz val="16"/>
        <color rgb="FFFFFFFF"/>
        <rFont val="Noto Sans CJK KR"/>
        <family val="2"/>
      </rPr>
      <t xml:space="preserve">티어별 가격 전략 </t>
    </r>
    <r>
      <rPr>
        <b val="true"/>
        <sz val="16"/>
        <color rgb="FFFFFFFF"/>
        <rFont val="Arial"/>
        <family val="0"/>
        <charset val="1"/>
      </rPr>
      <t xml:space="preserve">&amp; </t>
    </r>
    <r>
      <rPr>
        <b val="true"/>
        <sz val="16"/>
        <color rgb="FFFFFFFF"/>
        <rFont val="Noto Sans CJK KR"/>
        <family val="2"/>
      </rPr>
      <t xml:space="preserve">수익 시뮬레이션</t>
    </r>
  </si>
  <si>
    <r>
      <rPr>
        <i val="true"/>
        <sz val="10"/>
        <color rgb="FF1A1A2E"/>
        <rFont val="Noto Sans CJK KR"/>
        <family val="2"/>
      </rPr>
      <t xml:space="preserve">★ 파란색 셀 </t>
    </r>
    <r>
      <rPr>
        <i val="true"/>
        <sz val="10"/>
        <color rgb="FF1A1A2E"/>
        <rFont val="Arial"/>
        <family val="0"/>
        <charset val="1"/>
      </rPr>
      <t xml:space="preserve">= </t>
    </r>
    <r>
      <rPr>
        <i val="true"/>
        <sz val="10"/>
        <color rgb="FF1A1A2E"/>
        <rFont val="Noto Sans CJK KR"/>
        <family val="2"/>
      </rPr>
      <t xml:space="preserve">변경 가능한 가정치  </t>
    </r>
    <r>
      <rPr>
        <i val="true"/>
        <sz val="10"/>
        <color rgb="FF1A1A2E"/>
        <rFont val="Arial"/>
        <family val="0"/>
        <charset val="1"/>
      </rPr>
      <t xml:space="preserve">|  </t>
    </r>
    <r>
      <rPr>
        <i val="true"/>
        <sz val="10"/>
        <color rgb="FF1A1A2E"/>
        <rFont val="Noto Sans CJK KR"/>
        <family val="2"/>
      </rPr>
      <t xml:space="preserve">바이럴 계수 </t>
    </r>
    <r>
      <rPr>
        <i val="true"/>
        <sz val="10"/>
        <color rgb="FF1A1A2E"/>
        <rFont val="Arial"/>
        <family val="0"/>
        <charset val="1"/>
      </rPr>
      <t xml:space="preserve">1.0 </t>
    </r>
    <r>
      <rPr>
        <i val="true"/>
        <sz val="10"/>
        <color rgb="FF1A1A2E"/>
        <rFont val="Noto Sans CJK KR"/>
        <family val="2"/>
      </rPr>
      <t xml:space="preserve">이상이면 광고 없이도 성장</t>
    </r>
  </si>
  <si>
    <r>
      <rPr>
        <b val="true"/>
        <sz val="11"/>
        <color rgb="FFFFFFFF"/>
        <rFont val="Arial"/>
        <family val="0"/>
        <charset val="1"/>
      </rPr>
      <t xml:space="preserve">[ A ] </t>
    </r>
    <r>
      <rPr>
        <b val="true"/>
        <sz val="11"/>
        <color rgb="FFFFFFFF"/>
        <rFont val="Noto Sans CJK KR"/>
        <family val="2"/>
      </rPr>
      <t xml:space="preserve">핵심 가정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변경 가능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</si>
  <si>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근거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벤치마크</t>
    </r>
  </si>
  <si>
    <r>
      <rPr>
        <sz val="10"/>
        <color rgb="FF000000"/>
        <rFont val="Noto Sans CJK KR"/>
        <family val="2"/>
      </rPr>
      <t xml:space="preserve">월 광고 예산 </t>
    </r>
    <r>
      <rPr>
        <sz val="10"/>
        <color rgb="FF000000"/>
        <rFont val="Arial"/>
        <family val="0"/>
        <charset val="1"/>
      </rPr>
      <t xml:space="preserve">(USD)</t>
    </r>
  </si>
  <si>
    <r>
      <rPr>
        <i val="true"/>
        <sz val="9"/>
        <color rgb="FF666666"/>
        <rFont val="Noto Sans CJK KR"/>
        <family val="2"/>
      </rPr>
      <t xml:space="preserve">메타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KR"/>
        <family val="2"/>
      </rPr>
      <t xml:space="preserve">인스타 초기 테스트 최소 예산</t>
    </r>
  </si>
  <si>
    <r>
      <rPr>
        <sz val="10"/>
        <color rgb="FF000000"/>
        <rFont val="Noto Sans CJK KR"/>
        <family val="2"/>
      </rPr>
      <t xml:space="preserve">광고 클릭당 비용 </t>
    </r>
    <r>
      <rPr>
        <sz val="10"/>
        <color rgb="FF000000"/>
        <rFont val="Arial"/>
        <family val="0"/>
        <charset val="1"/>
      </rPr>
      <t xml:space="preserve">CPC (USD)</t>
    </r>
  </si>
  <si>
    <r>
      <rPr>
        <i val="true"/>
        <sz val="9"/>
        <color rgb="FF666666"/>
        <rFont val="Noto Sans CJK KR"/>
        <family val="2"/>
      </rPr>
      <t xml:space="preserve">메타 </t>
    </r>
    <r>
      <rPr>
        <i val="true"/>
        <sz val="9"/>
        <color rgb="FF666666"/>
        <rFont val="Arial"/>
        <family val="0"/>
        <charset val="1"/>
      </rPr>
      <t xml:space="preserve">MBTI/</t>
    </r>
    <r>
      <rPr>
        <i val="true"/>
        <sz val="9"/>
        <color rgb="FF666666"/>
        <rFont val="Noto Sans CJK KR"/>
        <family val="2"/>
      </rPr>
      <t xml:space="preserve">자기계발 타겟 평균 </t>
    </r>
    <r>
      <rPr>
        <i val="true"/>
        <sz val="9"/>
        <color rgb="FF666666"/>
        <rFont val="Arial"/>
        <family val="0"/>
        <charset val="1"/>
      </rPr>
      <t xml:space="preserve">CPC</t>
    </r>
  </si>
  <si>
    <t xml:space="preserve">검사 완료율</t>
  </si>
  <si>
    <r>
      <rPr>
        <i val="true"/>
        <sz val="9"/>
        <color rgb="FF666666"/>
        <rFont val="Noto Sans CJK KR"/>
        <family val="2"/>
      </rPr>
      <t xml:space="preserve">무료 검사 업계 평균 </t>
    </r>
    <r>
      <rPr>
        <i val="true"/>
        <sz val="9"/>
        <color rgb="FF666666"/>
        <rFont val="Arial"/>
        <family val="0"/>
        <charset val="1"/>
      </rPr>
      <t xml:space="preserve">60~70%</t>
    </r>
  </si>
  <si>
    <r>
      <rPr>
        <sz val="10"/>
        <color rgb="FF000000"/>
        <rFont val="Noto Sans CJK KR"/>
        <family val="2"/>
      </rPr>
      <t xml:space="preserve">결과→구매 전환율 </t>
    </r>
    <r>
      <rPr>
        <sz val="10"/>
        <color rgb="FF000000"/>
        <rFont val="Arial"/>
        <family val="0"/>
        <charset val="1"/>
      </rPr>
      <t xml:space="preserve">T1</t>
    </r>
  </si>
  <si>
    <r>
      <rPr>
        <i val="true"/>
        <sz val="9"/>
        <color rgb="FF666666"/>
        <rFont val="Arial"/>
        <family val="0"/>
        <charset val="1"/>
      </rPr>
      <t xml:space="preserve">16P </t>
    </r>
    <r>
      <rPr>
        <i val="true"/>
        <sz val="9"/>
        <color rgb="FF666666"/>
        <rFont val="Noto Sans CJK KR"/>
        <family val="2"/>
      </rPr>
      <t xml:space="preserve">프리미엄 전환 </t>
    </r>
    <r>
      <rPr>
        <i val="true"/>
        <sz val="9"/>
        <color rgb="FF666666"/>
        <rFont val="Arial"/>
        <family val="0"/>
        <charset val="1"/>
      </rPr>
      <t xml:space="preserve">5~8% </t>
    </r>
    <r>
      <rPr>
        <i val="true"/>
        <sz val="9"/>
        <color rgb="FF666666"/>
        <rFont val="Noto Sans CJK KR"/>
        <family val="2"/>
      </rPr>
      <t xml:space="preserve">참고</t>
    </r>
  </si>
  <si>
    <r>
      <rPr>
        <sz val="10"/>
        <color rgb="FF000000"/>
        <rFont val="Noto Sans CJK KR"/>
        <family val="2"/>
      </rPr>
      <t xml:space="preserve">결과→구매 전환율 </t>
    </r>
    <r>
      <rPr>
        <sz val="10"/>
        <color rgb="FF000000"/>
        <rFont val="Arial"/>
        <family val="0"/>
        <charset val="1"/>
      </rPr>
      <t xml:space="preserve">T2</t>
    </r>
  </si>
  <si>
    <r>
      <rPr>
        <i val="true"/>
        <sz val="9"/>
        <color rgb="FF666666"/>
        <rFont val="Noto Sans CJK KR"/>
        <family val="2"/>
      </rPr>
      <t xml:space="preserve">업셀 전환 </t>
    </r>
    <r>
      <rPr>
        <i val="true"/>
        <sz val="9"/>
        <color rgb="FF666666"/>
        <rFont val="Arial"/>
        <family val="0"/>
        <charset val="1"/>
      </rPr>
      <t xml:space="preserve">2~3% (T1 </t>
    </r>
    <r>
      <rPr>
        <i val="true"/>
        <sz val="9"/>
        <color rgb="FF666666"/>
        <rFont val="Noto Sans CJK KR"/>
        <family val="2"/>
      </rPr>
      <t xml:space="preserve">구매자 중</t>
    </r>
    <r>
      <rPr>
        <i val="true"/>
        <sz val="9"/>
        <color rgb="FF666666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</si>
  <si>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결과→구매 전환율 </t>
    </r>
    <r>
      <rPr>
        <sz val="10"/>
        <color rgb="FF000000"/>
        <rFont val="Arial"/>
        <family val="0"/>
        <charset val="1"/>
      </rPr>
      <t xml:space="preserve">T3</t>
    </r>
  </si>
  <si>
    <r>
      <rPr>
        <i val="true"/>
        <sz val="9"/>
        <color rgb="FF666666"/>
        <rFont val="Noto Sans CJK KR"/>
        <family val="2"/>
      </rPr>
      <t xml:space="preserve">고관여 전환 </t>
    </r>
    <r>
      <rPr>
        <i val="true"/>
        <sz val="9"/>
        <color rgb="FF666666"/>
        <rFont val="Arial"/>
        <family val="0"/>
        <charset val="1"/>
      </rPr>
      <t xml:space="preserve">1% </t>
    </r>
    <r>
      <rPr>
        <i val="true"/>
        <sz val="9"/>
        <color rgb="FF666666"/>
        <rFont val="Noto Sans CJK KR"/>
        <family val="2"/>
      </rPr>
      <t xml:space="preserve">목표</t>
    </r>
  </si>
  <si>
    <r>
      <rPr>
        <sz val="10"/>
        <color rgb="FF000000"/>
        <rFont val="Noto Sans CJK KR"/>
        <family val="2"/>
      </rPr>
      <t xml:space="preserve">바이럴 계수 </t>
    </r>
    <r>
      <rPr>
        <sz val="10"/>
        <color rgb="FF000000"/>
        <rFont val="Arial"/>
        <family val="0"/>
        <charset val="1"/>
      </rPr>
      <t xml:space="preserve">K</t>
    </r>
  </si>
  <si>
    <r>
      <rPr>
        <i val="true"/>
        <sz val="9"/>
        <color rgb="FF666666"/>
        <rFont val="Arial"/>
        <family val="0"/>
        <charset val="1"/>
      </rPr>
      <t xml:space="preserve">K&gt;1</t>
    </r>
    <r>
      <rPr>
        <i val="true"/>
        <sz val="9"/>
        <color rgb="FF666666"/>
        <rFont val="Noto Sans CJK KR"/>
        <family val="2"/>
      </rPr>
      <t xml:space="preserve">이면 광고 없이 자연 성장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KR"/>
        <family val="2"/>
      </rPr>
      <t xml:space="preserve">목표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</si>
  <si>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핫마트 수수료율</t>
  </si>
  <si>
    <r>
      <rPr>
        <i val="true"/>
        <sz val="9"/>
        <color rgb="FF666666"/>
        <rFont val="Noto Sans CJK KR"/>
        <family val="2"/>
      </rPr>
      <t xml:space="preserve">핫마트 기본 수수료 </t>
    </r>
    <r>
      <rPr>
        <i val="true"/>
        <sz val="9"/>
        <color rgb="FF666666"/>
        <rFont val="Arial"/>
        <family val="0"/>
        <charset val="1"/>
      </rPr>
      <t xml:space="preserve">9.9%</t>
    </r>
  </si>
  <si>
    <r>
      <rPr>
        <sz val="10"/>
        <color rgb="FF000000"/>
        <rFont val="Noto Sans CJK KR"/>
        <family val="2"/>
      </rPr>
      <t xml:space="preserve">월 운영비 </t>
    </r>
    <r>
      <rPr>
        <sz val="10"/>
        <color rgb="FF000000"/>
        <rFont val="Arial"/>
        <family val="0"/>
        <charset val="1"/>
      </rPr>
      <t xml:space="preserve">(USD)</t>
    </r>
  </si>
  <si>
    <r>
      <rPr>
        <i val="true"/>
        <sz val="9"/>
        <color rgb="FF666666"/>
        <rFont val="Noto Sans CJK KR"/>
        <family val="2"/>
      </rPr>
      <t xml:space="preserve">도메인</t>
    </r>
    <r>
      <rPr>
        <i val="true"/>
        <sz val="9"/>
        <color rgb="FF666666"/>
        <rFont val="Arial"/>
        <family val="0"/>
        <charset val="1"/>
      </rPr>
      <t xml:space="preserve">+</t>
    </r>
    <r>
      <rPr>
        <i val="true"/>
        <sz val="9"/>
        <color rgb="FF666666"/>
        <rFont val="Noto Sans CJK KR"/>
        <family val="2"/>
      </rPr>
      <t xml:space="preserve">호스팅</t>
    </r>
    <r>
      <rPr>
        <i val="true"/>
        <sz val="9"/>
        <color rgb="FF666666"/>
        <rFont val="Arial"/>
        <family val="0"/>
        <charset val="1"/>
      </rPr>
      <t xml:space="preserve">+</t>
    </r>
    <r>
      <rPr>
        <i val="true"/>
        <sz val="9"/>
        <color rgb="FF666666"/>
        <rFont val="Noto Sans CJK KR"/>
        <family val="2"/>
      </rPr>
      <t xml:space="preserve">이메일 툴 등</t>
    </r>
  </si>
  <si>
    <r>
      <rPr>
        <b val="true"/>
        <sz val="11"/>
        <color rgb="FFFFFFFF"/>
        <rFont val="Arial"/>
        <family val="0"/>
        <charset val="1"/>
      </rPr>
      <t xml:space="preserve">[ B ] </t>
    </r>
    <r>
      <rPr>
        <b val="true"/>
        <sz val="11"/>
        <color rgb="FFFFFFFF"/>
        <rFont val="Noto Sans CJK KR"/>
        <family val="2"/>
      </rPr>
      <t xml:space="preserve">티어별 가격 설계</t>
    </r>
  </si>
  <si>
    <r>
      <rPr>
        <b val="true"/>
        <sz val="11"/>
        <color rgb="FFFFFFFF"/>
        <rFont val="Noto Sans CJK KR"/>
        <family val="2"/>
      </rPr>
      <t xml:space="preserve">가격 </t>
    </r>
    <r>
      <rPr>
        <b val="true"/>
        <sz val="11"/>
        <color rgb="FFFFFFFF"/>
        <rFont val="Arial"/>
        <family val="0"/>
        <charset val="1"/>
      </rPr>
      <t xml:space="preserve">(USD)</t>
    </r>
  </si>
  <si>
    <t xml:space="preserve">핫마트 수령</t>
  </si>
  <si>
    <t xml:space="preserve">포함 콘텐츠</t>
  </si>
  <si>
    <t xml:space="preserve">T1  Basic</t>
  </si>
  <si>
    <r>
      <rPr>
        <sz val="9"/>
        <color rgb="FF333333"/>
        <rFont val="Arial"/>
        <family val="0"/>
        <charset val="1"/>
      </rPr>
      <t xml:space="preserve">7</t>
    </r>
    <r>
      <rPr>
        <sz val="9"/>
        <color rgb="FF333333"/>
        <rFont val="Noto Sans CJK KR"/>
        <family val="2"/>
      </rPr>
      <t xml:space="preserve">일 퀘스트 리포트 </t>
    </r>
    <r>
      <rPr>
        <sz val="9"/>
        <color rgb="FF333333"/>
        <rFont val="Arial"/>
        <family val="0"/>
        <charset val="1"/>
      </rPr>
      <t xml:space="preserve">(PDF)</t>
    </r>
  </si>
  <si>
    <t xml:space="preserve">T2  Deep</t>
  </si>
  <si>
    <r>
      <rPr>
        <sz val="9"/>
        <color rgb="FF333333"/>
        <rFont val="Arial"/>
        <family val="0"/>
        <charset val="1"/>
      </rPr>
      <t xml:space="preserve">30</t>
    </r>
    <r>
      <rPr>
        <sz val="9"/>
        <color rgb="FF333333"/>
        <rFont val="Noto Sans CJK KR"/>
        <family val="2"/>
      </rPr>
      <t xml:space="preserve">일 퀘스트 리포트 </t>
    </r>
    <r>
      <rPr>
        <sz val="9"/>
        <color rgb="FF333333"/>
        <rFont val="Arial"/>
        <family val="0"/>
        <charset val="1"/>
      </rPr>
      <t xml:space="preserve">(PDF)</t>
    </r>
  </si>
  <si>
    <t xml:space="preserve">T3  Master</t>
  </si>
  <si>
    <r>
      <rPr>
        <sz val="9"/>
        <color rgb="FF333333"/>
        <rFont val="Arial"/>
        <family val="0"/>
        <charset val="1"/>
      </rPr>
      <t xml:space="preserve">90</t>
    </r>
    <r>
      <rPr>
        <sz val="9"/>
        <color rgb="FF333333"/>
        <rFont val="Noto Sans CJK KR"/>
        <family val="2"/>
      </rPr>
      <t xml:space="preserve">일 퀘스트 리포트 </t>
    </r>
    <r>
      <rPr>
        <sz val="9"/>
        <color rgb="FF333333"/>
        <rFont val="Arial"/>
        <family val="0"/>
        <charset val="1"/>
      </rPr>
      <t xml:space="preserve">(PDF)</t>
    </r>
  </si>
  <si>
    <t xml:space="preserve">AppA StormBreaker</t>
  </si>
  <si>
    <r>
      <rPr>
        <sz val="9"/>
        <color rgb="FF333333"/>
        <rFont val="Noto Sans CJK KR"/>
        <family val="2"/>
      </rPr>
      <t xml:space="preserve">위기관리 특화 리포트 </t>
    </r>
    <r>
      <rPr>
        <sz val="9"/>
        <color rgb="FF333333"/>
        <rFont val="Arial"/>
        <family val="0"/>
        <charset val="1"/>
      </rPr>
      <t xml:space="preserve">(PDF)</t>
    </r>
  </si>
  <si>
    <t xml:space="preserve">AppB ClimateChanger</t>
  </si>
  <si>
    <r>
      <rPr>
        <sz val="9"/>
        <color rgb="FF333333"/>
        <rFont val="Noto Sans CJK KR"/>
        <family val="2"/>
      </rPr>
      <t xml:space="preserve">전환기 특화 리포트 </t>
    </r>
    <r>
      <rPr>
        <sz val="9"/>
        <color rgb="FF333333"/>
        <rFont val="Arial"/>
        <family val="0"/>
        <charset val="1"/>
      </rPr>
      <t xml:space="preserve">(PDF)</t>
    </r>
  </si>
  <si>
    <t xml:space="preserve">AppC HarvestMoon</t>
  </si>
  <si>
    <r>
      <rPr>
        <sz val="9"/>
        <color rgb="FF333333"/>
        <rFont val="Noto Sans CJK KR"/>
        <family val="2"/>
      </rPr>
      <t xml:space="preserve">최고성과 특화 리포트 </t>
    </r>
    <r>
      <rPr>
        <sz val="9"/>
        <color rgb="FF333333"/>
        <rFont val="Arial"/>
        <family val="0"/>
        <charset val="1"/>
      </rPr>
      <t xml:space="preserve">(PDF)</t>
    </r>
  </si>
  <si>
    <r>
      <rPr>
        <b val="true"/>
        <sz val="10"/>
        <color rgb="FF000000"/>
        <rFont val="Noto Sans CJK KR"/>
        <family val="2"/>
      </rPr>
      <t xml:space="preserve">번들 </t>
    </r>
    <r>
      <rPr>
        <b val="true"/>
        <sz val="10"/>
        <color rgb="FF000000"/>
        <rFont val="Arial"/>
        <family val="0"/>
        <charset val="1"/>
      </rPr>
      <t xml:space="preserve">T1+T2</t>
    </r>
  </si>
  <si>
    <r>
      <rPr>
        <sz val="9"/>
        <color rgb="FF333333"/>
        <rFont val="Arial"/>
        <family val="0"/>
        <charset val="1"/>
      </rPr>
      <t xml:space="preserve">Basic + Deep </t>
    </r>
    <r>
      <rPr>
        <sz val="9"/>
        <color rgb="FF333333"/>
        <rFont val="Noto Sans CJK KR"/>
        <family val="2"/>
      </rPr>
      <t xml:space="preserve">세트</t>
    </r>
  </si>
  <si>
    <r>
      <rPr>
        <b val="true"/>
        <sz val="10"/>
        <color rgb="FF000000"/>
        <rFont val="Noto Sans CJK KR"/>
        <family val="2"/>
      </rPr>
      <t xml:space="preserve">번들 </t>
    </r>
    <r>
      <rPr>
        <b val="true"/>
        <sz val="10"/>
        <color rgb="FF000000"/>
        <rFont val="Arial"/>
        <family val="0"/>
        <charset val="1"/>
      </rPr>
      <t xml:space="preserve">T1+T2+T3</t>
    </r>
  </si>
  <si>
    <r>
      <rPr>
        <sz val="9"/>
        <color rgb="FF333333"/>
        <rFont val="Arial"/>
        <family val="0"/>
        <charset val="1"/>
      </rPr>
      <t xml:space="preserve">Basic + Deep + Master </t>
    </r>
    <r>
      <rPr>
        <sz val="9"/>
        <color rgb="FF333333"/>
        <rFont val="Noto Sans CJK KR"/>
        <family val="2"/>
      </rPr>
      <t xml:space="preserve">풀세트</t>
    </r>
  </si>
  <si>
    <t xml:space="preserve">번들 풀패키지</t>
  </si>
  <si>
    <r>
      <rPr>
        <sz val="9"/>
        <color rgb="FF333333"/>
        <rFont val="Noto Sans CJK KR"/>
        <family val="2"/>
      </rPr>
      <t xml:space="preserve">모든 리포트 </t>
    </r>
    <r>
      <rPr>
        <sz val="9"/>
        <color rgb="FF333333"/>
        <rFont val="Arial"/>
        <family val="0"/>
        <charset val="1"/>
      </rPr>
      <t xml:space="preserve">6</t>
    </r>
    <r>
      <rPr>
        <sz val="9"/>
        <color rgb="FF333333"/>
        <rFont val="Noto Sans CJK KR"/>
        <family val="2"/>
      </rPr>
      <t xml:space="preserve">종 세트</t>
    </r>
  </si>
  <si>
    <r>
      <rPr>
        <i val="true"/>
        <sz val="9"/>
        <color rgb="FF6C5CE7"/>
        <rFont val="Noto Sans CJK KR"/>
        <family val="2"/>
      </rPr>
      <t xml:space="preserve">💡 가격 심리</t>
    </r>
    <r>
      <rPr>
        <i val="true"/>
        <sz val="9"/>
        <color rgb="FF6C5CE7"/>
        <rFont val="Arial"/>
        <family val="0"/>
        <charset val="1"/>
      </rPr>
      <t xml:space="preserve">: $4.9</t>
    </r>
    <r>
      <rPr>
        <i val="true"/>
        <sz val="9"/>
        <color rgb="FF6C5CE7"/>
        <rFont val="Noto Sans CJK KR"/>
        <family val="2"/>
      </rPr>
      <t xml:space="preserve">는 </t>
    </r>
    <r>
      <rPr>
        <i val="true"/>
        <sz val="9"/>
        <color rgb="FF6C5CE7"/>
        <rFont val="Arial"/>
        <family val="0"/>
        <charset val="1"/>
      </rPr>
      <t xml:space="preserve">"</t>
    </r>
    <r>
      <rPr>
        <i val="true"/>
        <sz val="9"/>
        <color rgb="FF6C5CE7"/>
        <rFont val="Noto Sans CJK KR"/>
        <family val="2"/>
      </rPr>
      <t xml:space="preserve">커피 한 잔</t>
    </r>
    <r>
      <rPr>
        <i val="true"/>
        <sz val="9"/>
        <color rgb="FF6C5CE7"/>
        <rFont val="Arial"/>
        <family val="0"/>
        <charset val="1"/>
      </rPr>
      <t xml:space="preserve">" </t>
    </r>
    <r>
      <rPr>
        <i val="true"/>
        <sz val="9"/>
        <color rgb="FF6C5CE7"/>
        <rFont val="Noto Sans CJK KR"/>
        <family val="2"/>
      </rPr>
      <t xml:space="preserve">프레임 </t>
    </r>
    <r>
      <rPr>
        <i val="true"/>
        <sz val="9"/>
        <color rgb="FF6C5CE7"/>
        <rFont val="Arial"/>
        <family val="0"/>
        <charset val="1"/>
      </rPr>
      <t xml:space="preserve">/ $9.9</t>
    </r>
    <r>
      <rPr>
        <i val="true"/>
        <sz val="9"/>
        <color rgb="FF6C5CE7"/>
        <rFont val="Noto Sans CJK KR"/>
        <family val="2"/>
      </rPr>
      <t xml:space="preserve">는 </t>
    </r>
    <r>
      <rPr>
        <i val="true"/>
        <sz val="9"/>
        <color rgb="FF6C5CE7"/>
        <rFont val="Arial"/>
        <family val="0"/>
        <charset val="1"/>
      </rPr>
      <t xml:space="preserve">charm pricing </t>
    </r>
    <r>
      <rPr>
        <i val="true"/>
        <sz val="9"/>
        <color rgb="FF6C5CE7"/>
        <rFont val="Noto Sans CJK KR"/>
        <family val="2"/>
      </rPr>
      <t xml:space="preserve">최적점 </t>
    </r>
    <r>
      <rPr>
        <i val="true"/>
        <sz val="9"/>
        <color rgb="FF6C5CE7"/>
        <rFont val="Arial"/>
        <family val="0"/>
        <charset val="1"/>
      </rPr>
      <t xml:space="preserve">/ $19.9</t>
    </r>
    <r>
      <rPr>
        <i val="true"/>
        <sz val="9"/>
        <color rgb="FF6C5CE7"/>
        <rFont val="Noto Sans CJK KR"/>
        <family val="2"/>
      </rPr>
      <t xml:space="preserve">는 앵커링 효과로 번들이 더 매력적으로 보이게 만드는 역할 </t>
    </r>
    <r>
      <rPr>
        <i val="true"/>
        <sz val="9"/>
        <color rgb="FF6C5CE7"/>
        <rFont val="Arial"/>
        <family val="0"/>
        <charset val="1"/>
      </rPr>
      <t xml:space="preserve">/ </t>
    </r>
    <r>
      <rPr>
        <i val="true"/>
        <sz val="9"/>
        <color rgb="FF6C5CE7"/>
        <rFont val="Noto Sans CJK KR"/>
        <family val="2"/>
      </rPr>
      <t xml:space="preserve">번들 할인율 </t>
    </r>
    <r>
      <rPr>
        <i val="true"/>
        <sz val="9"/>
        <color rgb="FF6C5CE7"/>
        <rFont val="Arial"/>
        <family val="0"/>
        <charset val="1"/>
      </rPr>
      <t xml:space="preserve">30~40%</t>
    </r>
    <r>
      <rPr>
        <i val="true"/>
        <sz val="9"/>
        <color rgb="FF6C5CE7"/>
        <rFont val="Noto Sans CJK KR"/>
        <family val="2"/>
      </rPr>
      <t xml:space="preserve">로 업셀 유도</t>
    </r>
  </si>
  <si>
    <r>
      <rPr>
        <b val="true"/>
        <sz val="14"/>
        <color rgb="FFFFFFFF"/>
        <rFont val="Arial"/>
        <family val="0"/>
        <charset val="1"/>
      </rPr>
      <t xml:space="preserve">SHADOWGRAM  |  12</t>
    </r>
    <r>
      <rPr>
        <b val="true"/>
        <sz val="14"/>
        <color rgb="FFFFFFFF"/>
        <rFont val="Noto Sans CJK KR"/>
        <family val="2"/>
      </rPr>
      <t xml:space="preserve">개월 수익 시뮬레이션 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KR"/>
        <family val="2"/>
      </rPr>
      <t xml:space="preserve">광고 직접 운영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KR"/>
        <family val="2"/>
      </rPr>
      <t xml:space="preserve">파트너 없음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</si>
  <si>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1A1A2E"/>
        <rFont val="Arial"/>
        <family val="0"/>
        <charset val="1"/>
      </rPr>
      <t xml:space="preserve">★ '① </t>
    </r>
    <r>
      <rPr>
        <i val="true"/>
        <sz val="10"/>
        <color rgb="FF1A1A2E"/>
        <rFont val="Noto Sans CJK KR"/>
        <family val="2"/>
      </rPr>
      <t xml:space="preserve">가격 전략</t>
    </r>
    <r>
      <rPr>
        <i val="true"/>
        <sz val="10"/>
        <color rgb="FF1A1A2E"/>
        <rFont val="Arial"/>
        <family val="0"/>
        <charset val="1"/>
      </rPr>
      <t xml:space="preserve">' </t>
    </r>
    <r>
      <rPr>
        <i val="true"/>
        <sz val="10"/>
        <color rgb="FF1A1A2E"/>
        <rFont val="Noto Sans CJK KR"/>
        <family val="2"/>
      </rPr>
      <t xml:space="preserve">시트의 파란색 가정치를 바꾸면 이 시트가 자동 업데이트됩니다</t>
    </r>
  </si>
  <si>
    <r>
      <rPr>
        <b val="true"/>
        <sz val="11"/>
        <color rgb="FFFFFFFF"/>
        <rFont val="Noto Sans CJK KR"/>
        <family val="2"/>
      </rPr>
      <t xml:space="preserve">참조 가정치 </t>
    </r>
    <r>
      <rPr>
        <b val="true"/>
        <sz val="11"/>
        <color rgb="FFFFFFFF"/>
        <rFont val="Arial"/>
        <family val="0"/>
        <charset val="1"/>
      </rPr>
      <t xml:space="preserve">(① </t>
    </r>
    <r>
      <rPr>
        <b val="true"/>
        <sz val="11"/>
        <color rgb="FFFFFFFF"/>
        <rFont val="Noto Sans CJK KR"/>
        <family val="2"/>
      </rPr>
      <t xml:space="preserve">시트에서 자동 연결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</si>
  <si>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값</t>
  </si>
  <si>
    <r>
      <rPr>
        <sz val="10"/>
        <color rgb="FF000000"/>
        <rFont val="Noto Sans CJK KR"/>
        <family val="2"/>
      </rPr>
      <t xml:space="preserve">광고 예산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(USD)</t>
    </r>
  </si>
  <si>
    <t xml:space="preserve">CPC (USD)</t>
  </si>
  <si>
    <r>
      <rPr>
        <sz val="10"/>
        <color rgb="FF000000"/>
        <rFont val="Noto Sans CJK KR"/>
        <family val="2"/>
      </rPr>
      <t xml:space="preserve">구매 전환율 </t>
    </r>
    <r>
      <rPr>
        <sz val="10"/>
        <color rgb="FF000000"/>
        <rFont val="Arial"/>
        <family val="0"/>
        <charset val="1"/>
      </rPr>
      <t xml:space="preserve">T1</t>
    </r>
  </si>
  <si>
    <r>
      <rPr>
        <sz val="10"/>
        <color rgb="FF000000"/>
        <rFont val="Noto Sans CJK KR"/>
        <family val="2"/>
      </rPr>
      <t xml:space="preserve">구매 전환율 </t>
    </r>
    <r>
      <rPr>
        <sz val="10"/>
        <color rgb="FF000000"/>
        <rFont val="Arial"/>
        <family val="0"/>
        <charset val="1"/>
      </rPr>
      <t xml:space="preserve">T2</t>
    </r>
  </si>
  <si>
    <r>
      <rPr>
        <sz val="10"/>
        <color rgb="FF000000"/>
        <rFont val="Noto Sans CJK KR"/>
        <family val="2"/>
      </rPr>
      <t xml:space="preserve">구매 전환율 </t>
    </r>
    <r>
      <rPr>
        <sz val="10"/>
        <color rgb="FF000000"/>
        <rFont val="Arial"/>
        <family val="0"/>
        <charset val="1"/>
      </rPr>
      <t xml:space="preserve">T3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</si>
  <si>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</si>
  <si>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</si>
  <si>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가격</t>
    </r>
  </si>
  <si>
    <t xml:space="preserve">월 운영비</t>
  </si>
  <si>
    <t xml:space="preserve">지표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</si>
  <si>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</si>
  <si>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</si>
  <si>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</si>
  <si>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</si>
  <si>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</si>
  <si>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</si>
  <si>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</si>
  <si>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</si>
  <si>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</si>
  <si>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</si>
  <si>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</si>
  <si>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</si>
  <si>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r>
      <rPr>
        <b val="true"/>
        <sz val="10"/>
        <color rgb="FFFFFFFF"/>
        <rFont val="Arial"/>
        <family val="0"/>
        <charset val="1"/>
      </rPr>
      <t xml:space="preserve">12M </t>
    </r>
    <r>
      <rPr>
        <b val="true"/>
        <sz val="10"/>
        <color rgb="FFFFFFFF"/>
        <rFont val="Noto Sans CJK KR"/>
        <family val="2"/>
      </rPr>
      <t xml:space="preserve">합계</t>
    </r>
  </si>
  <si>
    <r>
      <rPr>
        <b val="true"/>
        <sz val="10"/>
        <color rgb="FFFFFFFF"/>
        <rFont val="Noto Sans CJK KR"/>
        <family val="2"/>
      </rPr>
      <t xml:space="preserve">── 유입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Noto Sans CJK KR"/>
        <family val="2"/>
      </rPr>
      <t xml:space="preserve">검사</t>
    </r>
  </si>
  <si>
    <t xml:space="preserve">광고 유입 클릭 수</t>
  </si>
  <si>
    <t xml:space="preserve">바이럴 자연 유입</t>
  </si>
  <si>
    <t xml:space="preserve">총 유입 합계</t>
  </si>
  <si>
    <t xml:space="preserve">검사 완료자 수</t>
  </si>
  <si>
    <r>
      <rPr>
        <b val="true"/>
        <sz val="10"/>
        <color rgb="FFFFFFFF"/>
        <rFont val="Noto Sans CJK KR"/>
        <family val="2"/>
      </rPr>
      <t xml:space="preserve">── 구매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Noto Sans CJK KR"/>
        <family val="2"/>
      </rPr>
      <t xml:space="preserve">매출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</si>
  <si>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 건수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</si>
  <si>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KR"/>
        <family val="2"/>
      </rPr>
      <t xml:space="preserve">구매 건수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</si>
  <si>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구매 건수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</si>
  <si>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</si>
  <si>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KR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</si>
  <si>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매출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</si>
  <si>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총 매출 </t>
    </r>
    <r>
      <rPr>
        <sz val="10"/>
        <color rgb="FF000000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</si>
  <si>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Noto Sans CJK KR"/>
        <family val="2"/>
      </rPr>
      <t xml:space="preserve">── 비용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Noto Sans CJK KR"/>
        <family val="2"/>
      </rPr>
      <t xml:space="preserve">순이익</t>
    </r>
  </si>
  <si>
    <r>
      <rPr>
        <sz val="10"/>
        <color rgb="FF000000"/>
        <rFont val="Noto Sans CJK KR"/>
        <family val="2"/>
      </rPr>
      <t xml:space="preserve">핫마트 수령액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</si>
  <si>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광고비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</si>
  <si>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운영비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</si>
  <si>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순이익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</si>
  <si>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광고 </t>
    </r>
    <r>
      <rPr>
        <sz val="10"/>
        <color rgb="FF000000"/>
        <rFont val="Arial"/>
        <family val="0"/>
        <charset val="1"/>
      </rPr>
      <t xml:space="preserve">ROI</t>
    </r>
  </si>
  <si>
    <r>
      <rPr>
        <i val="true"/>
        <sz val="9"/>
        <color rgb="FF6C5CE7"/>
        <rFont val="Noto Sans CJK KR"/>
        <family val="2"/>
      </rPr>
      <t xml:space="preserve">💡 손익분기점</t>
    </r>
    <r>
      <rPr>
        <i val="true"/>
        <sz val="9"/>
        <color rgb="FF6C5CE7"/>
        <rFont val="Arial"/>
        <family val="0"/>
        <charset val="1"/>
      </rPr>
      <t xml:space="preserve">: </t>
    </r>
    <r>
      <rPr>
        <i val="true"/>
        <sz val="9"/>
        <color rgb="FF6C5CE7"/>
        <rFont val="Noto Sans CJK KR"/>
        <family val="2"/>
      </rPr>
      <t xml:space="preserve">순이익 ≥ </t>
    </r>
    <r>
      <rPr>
        <i val="true"/>
        <sz val="9"/>
        <color rgb="FF6C5CE7"/>
        <rFont val="Arial"/>
        <family val="0"/>
        <charset val="1"/>
      </rPr>
      <t xml:space="preserve">0 → </t>
    </r>
    <r>
      <rPr>
        <i val="true"/>
        <sz val="9"/>
        <color rgb="FF6C5CE7"/>
        <rFont val="Noto Sans CJK KR"/>
        <family val="2"/>
      </rPr>
      <t xml:space="preserve">월 검사 완료자가 </t>
    </r>
    <r>
      <rPr>
        <i val="true"/>
        <sz val="9"/>
        <color rgb="FF6C5CE7"/>
        <rFont val="Arial"/>
        <family val="0"/>
        <charset val="1"/>
      </rPr>
      <t xml:space="preserve">T1 </t>
    </r>
    <r>
      <rPr>
        <i val="true"/>
        <sz val="9"/>
        <color rgb="FF6C5CE7"/>
        <rFont val="Noto Sans CJK KR"/>
        <family val="2"/>
      </rPr>
      <t xml:space="preserve">기준 약 </t>
    </r>
    <r>
      <rPr>
        <i val="true"/>
        <sz val="9"/>
        <color rgb="FF6C5CE7"/>
        <rFont val="Arial"/>
        <family val="0"/>
        <charset val="1"/>
      </rPr>
      <t xml:space="preserve">130</t>
    </r>
    <r>
      <rPr>
        <i val="true"/>
        <sz val="9"/>
        <color rgb="FF6C5CE7"/>
        <rFont val="Noto Sans CJK KR"/>
        <family val="2"/>
      </rPr>
      <t xml:space="preserve">명 이상이면 광고비</t>
    </r>
    <r>
      <rPr>
        <i val="true"/>
        <sz val="9"/>
        <color rgb="FF6C5CE7"/>
        <rFont val="Arial"/>
        <family val="0"/>
        <charset val="1"/>
      </rPr>
      <t xml:space="preserve">+</t>
    </r>
    <r>
      <rPr>
        <i val="true"/>
        <sz val="9"/>
        <color rgb="FF6C5CE7"/>
        <rFont val="Noto Sans CJK KR"/>
        <family val="2"/>
      </rPr>
      <t xml:space="preserve">운영비 커버 </t>
    </r>
    <r>
      <rPr>
        <i val="true"/>
        <sz val="9"/>
        <color rgb="FF6C5CE7"/>
        <rFont val="Arial"/>
        <family val="0"/>
        <charset val="1"/>
      </rPr>
      <t xml:space="preserve">| </t>
    </r>
    <r>
      <rPr>
        <i val="true"/>
        <sz val="9"/>
        <color rgb="FF6C5CE7"/>
        <rFont val="Noto Sans CJK KR"/>
        <family val="2"/>
      </rPr>
      <t xml:space="preserve">바이럴 계수 </t>
    </r>
    <r>
      <rPr>
        <i val="true"/>
        <sz val="9"/>
        <color rgb="FF6C5CE7"/>
        <rFont val="Arial"/>
        <family val="0"/>
        <charset val="1"/>
      </rPr>
      <t xml:space="preserve">K=1.2</t>
    </r>
    <r>
      <rPr>
        <i val="true"/>
        <sz val="9"/>
        <color rgb="FF6C5CE7"/>
        <rFont val="Noto Sans CJK KR"/>
        <family val="2"/>
      </rPr>
      <t xml:space="preserve">면 </t>
    </r>
    <r>
      <rPr>
        <i val="true"/>
        <sz val="9"/>
        <color rgb="FF6C5CE7"/>
        <rFont val="Arial"/>
        <family val="0"/>
        <charset val="1"/>
      </rPr>
      <t xml:space="preserve">M3</t>
    </r>
    <r>
      <rPr>
        <i val="true"/>
        <sz val="9"/>
        <color rgb="FF6C5CE7"/>
        <rFont val="Noto Sans CJK KR"/>
        <family val="2"/>
      </rPr>
      <t xml:space="preserve">부터 자연 성장 시작 → </t>
    </r>
    <r>
      <rPr>
        <i val="true"/>
        <sz val="9"/>
        <color rgb="FF6C5CE7"/>
        <rFont val="Arial"/>
        <family val="0"/>
        <charset val="1"/>
      </rPr>
      <t xml:space="preserve">M6 </t>
    </r>
    <r>
      <rPr>
        <i val="true"/>
        <sz val="9"/>
        <color rgb="FF6C5CE7"/>
        <rFont val="Noto Sans CJK KR"/>
        <family val="2"/>
      </rPr>
      <t xml:space="preserve">이후 광고 축소 가능</t>
    </r>
  </si>
  <si>
    <r>
      <rPr>
        <b val="true"/>
        <sz val="14"/>
        <color rgb="FFFFFFFF"/>
        <rFont val="Arial"/>
        <family val="0"/>
        <charset val="1"/>
      </rPr>
      <t xml:space="preserve">SHADOWGRAM  |  3</t>
    </r>
    <r>
      <rPr>
        <b val="true"/>
        <sz val="14"/>
        <color rgb="FFFFFFFF"/>
        <rFont val="Noto Sans CJK KR"/>
        <family val="2"/>
      </rPr>
      <t xml:space="preserve">가지 시나리오 비교 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KR"/>
        <family val="2"/>
      </rPr>
      <t xml:space="preserve">보수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KR"/>
        <family val="2"/>
      </rPr>
      <t xml:space="preserve">기본 </t>
    </r>
    <r>
      <rPr>
        <b val="true"/>
        <sz val="14"/>
        <color rgb="FFFFFFFF"/>
        <rFont val="Arial"/>
        <family val="0"/>
        <charset val="1"/>
      </rPr>
      <t xml:space="preserve">/ </t>
    </r>
    <r>
      <rPr>
        <b val="true"/>
        <sz val="14"/>
        <color rgb="FFFFFFFF"/>
        <rFont val="Noto Sans CJK KR"/>
        <family val="2"/>
      </rPr>
      <t xml:space="preserve">낙관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</si>
  <si>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1A1A2E"/>
        <rFont val="Noto Sans CJK KR"/>
        <family val="2"/>
      </rPr>
      <t xml:space="preserve">★ 파란색 셀 직접 수정 가능  </t>
    </r>
    <r>
      <rPr>
        <i val="true"/>
        <sz val="10"/>
        <color rgb="FF1A1A2E"/>
        <rFont val="Arial"/>
        <family val="0"/>
        <charset val="1"/>
      </rPr>
      <t xml:space="preserve">|  </t>
    </r>
    <r>
      <rPr>
        <i val="true"/>
        <sz val="10"/>
        <color rgb="FF1A1A2E"/>
        <rFont val="Noto Sans CJK KR"/>
        <family val="2"/>
      </rPr>
      <t xml:space="preserve">모든 계산은 </t>
    </r>
    <r>
      <rPr>
        <i val="true"/>
        <sz val="10"/>
        <color rgb="FF1A1A2E"/>
        <rFont val="Arial"/>
        <family val="0"/>
        <charset val="1"/>
      </rPr>
      <t xml:space="preserve">12</t>
    </r>
    <r>
      <rPr>
        <i val="true"/>
        <sz val="10"/>
        <color rgb="FF1A1A2E"/>
        <rFont val="Noto Sans CJK KR"/>
        <family val="2"/>
      </rPr>
      <t xml:space="preserve">개월 누적 기준</t>
    </r>
  </si>
  <si>
    <r>
      <rPr>
        <b val="true"/>
        <sz val="11"/>
        <color rgb="FFFFFFFF"/>
        <rFont val="Noto Sans CJK KR"/>
        <family val="2"/>
      </rPr>
      <t xml:space="preserve">가정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지표</t>
    </r>
  </si>
  <si>
    <t xml:space="preserve">보수적 시나리오</t>
  </si>
  <si>
    <t xml:space="preserve">기본 시나리오</t>
  </si>
  <si>
    <t xml:space="preserve">낙관적 시나리오</t>
  </si>
  <si>
    <t xml:space="preserve">비고</t>
  </si>
  <si>
    <t xml:space="preserve">── 핵심 가정</t>
  </si>
  <si>
    <r>
      <rPr>
        <i val="true"/>
        <sz val="9"/>
        <color rgb="FF666666"/>
        <rFont val="Noto Sans CJK KR"/>
        <family val="2"/>
      </rPr>
      <t xml:space="preserve">메타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KR"/>
        <family val="2"/>
      </rPr>
      <t xml:space="preserve">인스타 테스트 예산</t>
    </r>
  </si>
  <si>
    <t xml:space="preserve">타겟 정교화로 낮아짐</t>
  </si>
  <si>
    <r>
      <rPr>
        <i val="true"/>
        <sz val="9"/>
        <color rgb="FF666666"/>
        <rFont val="Arial"/>
        <family val="0"/>
        <charset val="1"/>
      </rPr>
      <t xml:space="preserve">UX </t>
    </r>
    <r>
      <rPr>
        <i val="true"/>
        <sz val="9"/>
        <color rgb="FF666666"/>
        <rFont val="Noto Sans CJK KR"/>
        <family val="2"/>
      </rPr>
      <t xml:space="preserve">개선 따라 상승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</si>
  <si>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 전환율</t>
    </r>
  </si>
  <si>
    <r>
      <rPr>
        <i val="true"/>
        <sz val="9"/>
        <color rgb="FF666666"/>
        <rFont val="Noto Sans CJK KR"/>
        <family val="2"/>
      </rPr>
      <t xml:space="preserve">결과 페이지 </t>
    </r>
    <r>
      <rPr>
        <i val="true"/>
        <sz val="9"/>
        <color rgb="FF666666"/>
        <rFont val="Arial"/>
        <family val="0"/>
        <charset val="1"/>
      </rPr>
      <t xml:space="preserve">CTA </t>
    </r>
    <r>
      <rPr>
        <i val="true"/>
        <sz val="9"/>
        <color rgb="FF666666"/>
        <rFont val="Noto Sans CJK KR"/>
        <family val="2"/>
      </rPr>
      <t xml:space="preserve">최적화</t>
    </r>
  </si>
  <si>
    <r>
      <rPr>
        <i val="true"/>
        <sz val="9"/>
        <color rgb="FF666666"/>
        <rFont val="Arial"/>
        <family val="0"/>
        <charset val="1"/>
      </rPr>
      <t xml:space="preserve">K&gt;1</t>
    </r>
    <r>
      <rPr>
        <i val="true"/>
        <sz val="9"/>
        <color rgb="FF666666"/>
        <rFont val="Noto Sans CJK KR"/>
        <family val="2"/>
      </rPr>
      <t xml:space="preserve">이면 자연 성장 </t>
    </r>
    <r>
      <rPr>
        <i val="true"/>
        <sz val="9"/>
        <color rgb="FF666666"/>
        <rFont val="Arial"/>
        <family val="0"/>
        <charset val="1"/>
      </rPr>
      <t xml:space="preserve">/ K=1.8</t>
    </r>
    <r>
      <rPr>
        <i val="true"/>
        <sz val="9"/>
        <color rgb="FF666666"/>
        <rFont val="Noto Sans CJK KR"/>
        <family val="2"/>
      </rPr>
      <t xml:space="preserve">이면 폭발적 성장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</si>
  <si>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가격 </t>
    </r>
    <r>
      <rPr>
        <sz val="10"/>
        <color rgb="FF000000"/>
        <rFont val="Arial"/>
        <family val="0"/>
        <charset val="1"/>
      </rPr>
      <t xml:space="preserve">(USD)</t>
    </r>
  </si>
  <si>
    <t xml:space="preserve">낙관 시나리오에서 소폭 인상 테스트</t>
  </si>
  <si>
    <r>
      <rPr>
        <b val="true"/>
        <sz val="10"/>
        <color rgb="FFFFFFFF"/>
        <rFont val="Arial"/>
        <family val="0"/>
        <charset val="1"/>
      </rPr>
      <t xml:space="preserve">── 12</t>
    </r>
    <r>
      <rPr>
        <b val="true"/>
        <sz val="10"/>
        <color rgb="FFFFFFFF"/>
        <rFont val="Noto Sans CJK KR"/>
        <family val="2"/>
      </rPr>
      <t xml:space="preserve">개월 누적 결과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</si>
  <si>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총 광고 유입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</si>
  <si>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바이럴 자연 유입 추정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</si>
  <si>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총 검사 완료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</si>
  <si>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12M T1 </t>
    </r>
    <r>
      <rPr>
        <sz val="10"/>
        <color rgb="FF000000"/>
        <rFont val="Noto Sans CJK KR"/>
        <family val="2"/>
      </rPr>
      <t xml:space="preserve">구매 건수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</si>
  <si>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총 매출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</si>
  <si>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핫마트 수령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</si>
  <si>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광고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KR"/>
        <family val="2"/>
      </rPr>
      <t xml:space="preserve">운영비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</si>
  <si>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Arial"/>
        <family val="0"/>
        <charset val="1"/>
      </rPr>
      <t xml:space="preserve">12M </t>
    </r>
    <r>
      <rPr>
        <sz val="10"/>
        <color rgb="FF000000"/>
        <rFont val="Noto Sans CJK KR"/>
        <family val="2"/>
      </rPr>
      <t xml:space="preserve">순이익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</si>
  <si>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월평균 순이익 </t>
    </r>
    <r>
      <rPr>
        <sz val="10"/>
        <color rgb="FF000000"/>
        <rFont val="Arial"/>
        <family val="0"/>
        <charset val="1"/>
      </rPr>
      <t xml:space="preserve">(USD)</t>
    </r>
  </si>
  <si>
    <r>
      <rPr>
        <sz val="10"/>
        <color rgb="FF000000"/>
        <rFont val="Noto Sans CJK KR"/>
        <family val="2"/>
      </rPr>
      <t xml:space="preserve">손익분기 도달 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추정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</si>
  <si>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C5CE7"/>
        <rFont val="Noto Sans CJK KR"/>
        <family val="2"/>
      </rPr>
      <t xml:space="preserve">🎯 핵심 인사이트</t>
    </r>
    <r>
      <rPr>
        <i val="true"/>
        <sz val="9"/>
        <color rgb="FF6C5CE7"/>
        <rFont val="Arial"/>
        <family val="0"/>
        <charset val="1"/>
      </rPr>
      <t xml:space="preserve">: </t>
    </r>
    <r>
      <rPr>
        <i val="true"/>
        <sz val="9"/>
        <color rgb="FF6C5CE7"/>
        <rFont val="Noto Sans CJK KR"/>
        <family val="2"/>
      </rPr>
      <t xml:space="preserve">바이럴 계수 </t>
    </r>
    <r>
      <rPr>
        <i val="true"/>
        <sz val="9"/>
        <color rgb="FF6C5CE7"/>
        <rFont val="Arial"/>
        <family val="0"/>
        <charset val="1"/>
      </rPr>
      <t xml:space="preserve">K</t>
    </r>
    <r>
      <rPr>
        <i val="true"/>
        <sz val="9"/>
        <color rgb="FF6C5CE7"/>
        <rFont val="Noto Sans CJK KR"/>
        <family val="2"/>
      </rPr>
      <t xml:space="preserve">가 수익을 결정합니다</t>
    </r>
    <r>
      <rPr>
        <i val="true"/>
        <sz val="9"/>
        <color rgb="FF6C5CE7"/>
        <rFont val="Arial"/>
        <family val="0"/>
        <charset val="1"/>
      </rPr>
      <t xml:space="preserve">. K=0.7(</t>
    </r>
    <r>
      <rPr>
        <i val="true"/>
        <sz val="9"/>
        <color rgb="FF6C5CE7"/>
        <rFont val="Noto Sans CJK KR"/>
        <family val="2"/>
      </rPr>
      <t xml:space="preserve">보수</t>
    </r>
    <r>
      <rPr>
        <i val="true"/>
        <sz val="9"/>
        <color rgb="FF6C5CE7"/>
        <rFont val="Arial"/>
        <family val="0"/>
        <charset val="1"/>
      </rPr>
      <t xml:space="preserve">) → </t>
    </r>
    <r>
      <rPr>
        <i val="true"/>
        <sz val="9"/>
        <color rgb="FF6C5CE7"/>
        <rFont val="Noto Sans CJK KR"/>
        <family val="2"/>
      </rPr>
      <t xml:space="preserve">광고 의존 지속 </t>
    </r>
    <r>
      <rPr>
        <i val="true"/>
        <sz val="9"/>
        <color rgb="FF6C5CE7"/>
        <rFont val="Arial"/>
        <family val="0"/>
        <charset val="1"/>
      </rPr>
      <t xml:space="preserve">| K=1.2(</t>
    </r>
    <r>
      <rPr>
        <i val="true"/>
        <sz val="9"/>
        <color rgb="FF6C5CE7"/>
        <rFont val="Noto Sans CJK KR"/>
        <family val="2"/>
      </rPr>
      <t xml:space="preserve">기본</t>
    </r>
    <r>
      <rPr>
        <i val="true"/>
        <sz val="9"/>
        <color rgb="FF6C5CE7"/>
        <rFont val="Arial"/>
        <family val="0"/>
        <charset val="1"/>
      </rPr>
      <t xml:space="preserve">) → M4</t>
    </r>
    <r>
      <rPr>
        <i val="true"/>
        <sz val="9"/>
        <color rgb="FF6C5CE7"/>
        <rFont val="Noto Sans CJK KR"/>
        <family val="2"/>
      </rPr>
      <t xml:space="preserve">부터 자연 성장 시작 </t>
    </r>
    <r>
      <rPr>
        <i val="true"/>
        <sz val="9"/>
        <color rgb="FF6C5CE7"/>
        <rFont val="Arial"/>
        <family val="0"/>
        <charset val="1"/>
      </rPr>
      <t xml:space="preserve">| K=1.8(</t>
    </r>
    <r>
      <rPr>
        <i val="true"/>
        <sz val="9"/>
        <color rgb="FF6C5CE7"/>
        <rFont val="Noto Sans CJK KR"/>
        <family val="2"/>
      </rPr>
      <t xml:space="preserve">낙관</t>
    </r>
    <r>
      <rPr>
        <i val="true"/>
        <sz val="9"/>
        <color rgb="FF6C5CE7"/>
        <rFont val="Arial"/>
        <family val="0"/>
        <charset val="1"/>
      </rPr>
      <t xml:space="preserve">) → M3</t>
    </r>
    <r>
      <rPr>
        <i val="true"/>
        <sz val="9"/>
        <color rgb="FF6C5CE7"/>
        <rFont val="Noto Sans CJK KR"/>
        <family val="2"/>
      </rPr>
      <t xml:space="preserve">부터 지수 성장</t>
    </r>
    <r>
      <rPr>
        <i val="true"/>
        <sz val="9"/>
        <color rgb="FF6C5CE7"/>
        <rFont val="Arial"/>
        <family val="0"/>
        <charset val="1"/>
      </rPr>
      <t xml:space="preserve">. </t>
    </r>
    <r>
      <rPr>
        <i val="true"/>
        <sz val="9"/>
        <color rgb="FF6C5CE7"/>
        <rFont val="Noto Sans CJK KR"/>
        <family val="2"/>
      </rPr>
      <t xml:space="preserve">초기 </t>
    </r>
    <r>
      <rPr>
        <i val="true"/>
        <sz val="9"/>
        <color rgb="FF6C5CE7"/>
        <rFont val="Arial"/>
        <family val="0"/>
        <charset val="1"/>
      </rPr>
      <t xml:space="preserve">3</t>
    </r>
    <r>
      <rPr>
        <i val="true"/>
        <sz val="9"/>
        <color rgb="FF6C5CE7"/>
        <rFont val="Noto Sans CJK KR"/>
        <family val="2"/>
      </rPr>
      <t xml:space="preserve">개월은 결과 페이지 </t>
    </r>
    <r>
      <rPr>
        <i val="true"/>
        <sz val="9"/>
        <color rgb="FF6C5CE7"/>
        <rFont val="Arial"/>
        <family val="0"/>
        <charset val="1"/>
      </rPr>
      <t xml:space="preserve">UX </t>
    </r>
    <r>
      <rPr>
        <i val="true"/>
        <sz val="9"/>
        <color rgb="FF6C5CE7"/>
        <rFont val="Noto Sans CJK KR"/>
        <family val="2"/>
      </rPr>
      <t xml:space="preserve">최적화에 집중해서 </t>
    </r>
    <r>
      <rPr>
        <i val="true"/>
        <sz val="9"/>
        <color rgb="FF6C5CE7"/>
        <rFont val="Arial"/>
        <family val="0"/>
        <charset val="1"/>
      </rPr>
      <t xml:space="preserve">K</t>
    </r>
    <r>
      <rPr>
        <i val="true"/>
        <sz val="9"/>
        <color rgb="FF6C5CE7"/>
        <rFont val="Noto Sans CJK KR"/>
        <family val="2"/>
      </rPr>
      <t xml:space="preserve">를 </t>
    </r>
    <r>
      <rPr>
        <i val="true"/>
        <sz val="9"/>
        <color rgb="FF6C5CE7"/>
        <rFont val="Arial"/>
        <family val="0"/>
        <charset val="1"/>
      </rPr>
      <t xml:space="preserve">1.0 </t>
    </r>
    <r>
      <rPr>
        <i val="true"/>
        <sz val="9"/>
        <color rgb="FF6C5CE7"/>
        <rFont val="Noto Sans CJK KR"/>
        <family val="2"/>
      </rPr>
      <t xml:space="preserve">이상으로 올리는 게 최우선</t>
    </r>
    <r>
      <rPr>
        <i val="true"/>
        <sz val="9"/>
        <color rgb="FF6C5CE7"/>
        <rFont val="Arial"/>
        <family val="0"/>
        <charset val="1"/>
      </rPr>
      <t xml:space="preserve">.</t>
    </r>
  </si>
  <si>
    <r>
      <rPr>
        <b val="true"/>
        <sz val="14"/>
        <color rgb="FFFFFFFF"/>
        <rFont val="Arial"/>
        <family val="0"/>
        <charset val="1"/>
      </rPr>
      <t xml:space="preserve">SHADOWGRAM  |  </t>
    </r>
    <r>
      <rPr>
        <b val="true"/>
        <sz val="14"/>
        <color rgb="FFFFFFFF"/>
        <rFont val="Noto Sans CJK KR"/>
        <family val="2"/>
      </rPr>
      <t xml:space="preserve">손익분기점 빠른 계산기</t>
    </r>
  </si>
  <si>
    <t xml:space="preserve">입력 가정</t>
  </si>
  <si>
    <t xml:space="preserve">해설</t>
  </si>
  <si>
    <r>
      <rPr>
        <sz val="10"/>
        <color rgb="FF000000"/>
        <rFont val="Noto Sans CJK KR"/>
        <family val="2"/>
      </rPr>
      <t xml:space="preserve">월 고정비용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광고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KR"/>
        <family val="2"/>
      </rPr>
      <t xml:space="preserve">운영</t>
    </r>
    <r>
      <rPr>
        <sz val="10"/>
        <color rgb="FF000000"/>
        <rFont val="Arial"/>
        <family val="0"/>
        <charset val="1"/>
      </rPr>
      <t xml:space="preserve">, USD)</t>
    </r>
  </si>
  <si>
    <r>
      <rPr>
        <i val="true"/>
        <sz val="9"/>
        <color rgb="FF666666"/>
        <rFont val="Noto Sans CJK KR"/>
        <family val="2"/>
      </rPr>
      <t xml:space="preserve">광고 </t>
    </r>
    <r>
      <rPr>
        <i val="true"/>
        <sz val="9"/>
        <color rgb="FF666666"/>
        <rFont val="Arial"/>
        <family val="0"/>
        <charset val="1"/>
      </rPr>
      <t xml:space="preserve">$300 + </t>
    </r>
    <r>
      <rPr>
        <i val="true"/>
        <sz val="9"/>
        <color rgb="FF666666"/>
        <rFont val="Noto Sans CJK KR"/>
        <family val="2"/>
      </rPr>
      <t xml:space="preserve">운영 </t>
    </r>
    <r>
      <rPr>
        <i val="true"/>
        <sz val="9"/>
        <color rgb="FF666666"/>
        <rFont val="Arial"/>
        <family val="0"/>
        <charset val="1"/>
      </rPr>
      <t xml:space="preserve">$50</t>
    </r>
  </si>
  <si>
    <t xml:space="preserve">가장 낮은 진입 가격</t>
  </si>
  <si>
    <r>
      <rPr>
        <sz val="10"/>
        <color rgb="FF000000"/>
        <rFont val="Noto Sans CJK KR"/>
        <family val="2"/>
      </rPr>
      <t xml:space="preserve">핫마트 수수료 </t>
    </r>
    <r>
      <rPr>
        <sz val="10"/>
        <color rgb="FF000000"/>
        <rFont val="Arial"/>
        <family val="0"/>
        <charset val="1"/>
      </rPr>
      <t xml:space="preserve">(%)</t>
    </r>
  </si>
  <si>
    <r>
      <rPr>
        <i val="true"/>
        <sz val="9"/>
        <color rgb="FF666666"/>
        <rFont val="Noto Sans CJK KR"/>
        <family val="2"/>
      </rPr>
      <t xml:space="preserve">수수료 후 수령액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KR"/>
        <family val="2"/>
      </rPr>
      <t xml:space="preserve">가격 </t>
    </r>
    <r>
      <rPr>
        <i val="true"/>
        <sz val="9"/>
        <color rgb="FF666666"/>
        <rFont val="Arial"/>
        <family val="0"/>
        <charset val="1"/>
      </rPr>
      <t xml:space="preserve">× (1-9.9%)</t>
    </r>
  </si>
  <si>
    <t xml:space="preserve">클릭 후 검사까지 완료하는 비율</t>
  </si>
  <si>
    <r>
      <rPr>
        <i val="true"/>
        <sz val="9"/>
        <color rgb="FF666666"/>
        <rFont val="Noto Sans CJK KR"/>
        <family val="2"/>
      </rPr>
      <t xml:space="preserve">결과 페이지에서 </t>
    </r>
    <r>
      <rPr>
        <i val="true"/>
        <sz val="9"/>
        <color rgb="FF666666"/>
        <rFont val="Arial"/>
        <family val="0"/>
        <charset val="1"/>
      </rPr>
      <t xml:space="preserve">T1 </t>
    </r>
    <r>
      <rPr>
        <i val="true"/>
        <sz val="9"/>
        <color rgb="FF666666"/>
        <rFont val="Noto Sans CJK KR"/>
        <family val="2"/>
      </rPr>
      <t xml:space="preserve">구매하는 비율</t>
    </r>
  </si>
  <si>
    <t xml:space="preserve">광고 클릭당 비용</t>
  </si>
  <si>
    <t xml:space="preserve">손익분기점 계산 결과</t>
  </si>
  <si>
    <t xml:space="preserve">의미</t>
  </si>
  <si>
    <r>
      <rPr>
        <b val="true"/>
        <sz val="10"/>
        <color rgb="FF000000"/>
        <rFont val="Arial"/>
        <family val="0"/>
        <charset val="1"/>
      </rPr>
      <t xml:space="preserve">T1 1</t>
    </r>
    <r>
      <rPr>
        <b val="true"/>
        <sz val="10"/>
        <color rgb="FF000000"/>
        <rFont val="Noto Sans CJK KR"/>
        <family val="2"/>
      </rPr>
      <t xml:space="preserve">건당 순수익 </t>
    </r>
    <r>
      <rPr>
        <b val="true"/>
        <sz val="10"/>
        <color rgb="FF000000"/>
        <rFont val="Arial"/>
        <family val="0"/>
        <charset val="1"/>
      </rPr>
      <t xml:space="preserve">(USD)</t>
    </r>
  </si>
  <si>
    <t xml:space="preserve">핫마트 수수료 제외 실수령액</t>
  </si>
  <si>
    <t xml:space="preserve">월 손익분기 판매 건수</t>
  </si>
  <si>
    <t xml:space="preserve">이 건수 이상 판매해야 흑자</t>
  </si>
  <si>
    <t xml:space="preserve">월 필요 검사 완료자 수</t>
  </si>
  <si>
    <t xml:space="preserve">완료자 중 전환율 적용</t>
  </si>
  <si>
    <t xml:space="preserve">월 필요 총 유입 클릭 수</t>
  </si>
  <si>
    <t xml:space="preserve">검사 완료율 적용</t>
  </si>
  <si>
    <r>
      <rPr>
        <b val="true"/>
        <sz val="10"/>
        <color rgb="FF000000"/>
        <rFont val="Noto Sans CJK KR"/>
        <family val="2"/>
      </rPr>
      <t xml:space="preserve">월 필요 광고 예산 </t>
    </r>
    <r>
      <rPr>
        <b val="true"/>
        <sz val="10"/>
        <color rgb="FF000000"/>
        <rFont val="Arial"/>
        <family val="0"/>
        <charset val="1"/>
      </rPr>
      <t xml:space="preserve">(USD)</t>
    </r>
  </si>
  <si>
    <r>
      <rPr>
        <sz val="9"/>
        <color rgb="FF333333"/>
        <rFont val="Noto Sans CJK KR"/>
        <family val="2"/>
      </rPr>
      <t xml:space="preserve">이 금액이면 광고만으로 </t>
    </r>
    <r>
      <rPr>
        <sz val="9"/>
        <color rgb="FF333333"/>
        <rFont val="Arial"/>
        <family val="0"/>
        <charset val="1"/>
      </rPr>
      <t xml:space="preserve">BEP </t>
    </r>
    <r>
      <rPr>
        <sz val="9"/>
        <color rgb="FF333333"/>
        <rFont val="Noto Sans CJK KR"/>
        <family val="2"/>
      </rPr>
      <t xml:space="preserve">달성</t>
    </r>
  </si>
  <si>
    <t xml:space="preserve">현재 설정으로 월 예상 판매</t>
  </si>
  <si>
    <r>
      <rPr>
        <sz val="9"/>
        <color rgb="FF333333"/>
        <rFont val="Noto Sans CJK KR"/>
        <family val="2"/>
      </rPr>
      <t xml:space="preserve">현재 예산</t>
    </r>
    <r>
      <rPr>
        <sz val="9"/>
        <color rgb="FF333333"/>
        <rFont val="Arial"/>
        <family val="0"/>
        <charset val="1"/>
      </rPr>
      <t xml:space="preserve">+</t>
    </r>
    <r>
      <rPr>
        <sz val="9"/>
        <color rgb="FF333333"/>
        <rFont val="Noto Sans CJK KR"/>
        <family val="2"/>
      </rPr>
      <t xml:space="preserve">전환율 기준 예상</t>
    </r>
  </si>
  <si>
    <t xml:space="preserve">현재 설정으로 월 순이익</t>
  </si>
  <si>
    <r>
      <rPr>
        <sz val="9"/>
        <color rgb="FF333333"/>
        <rFont val="Noto Sans CJK KR"/>
        <family val="2"/>
      </rPr>
      <t xml:space="preserve">음수면 적자 → 가격 </t>
    </r>
    <r>
      <rPr>
        <sz val="9"/>
        <color rgb="FF333333"/>
        <rFont val="Arial"/>
        <family val="0"/>
        <charset val="1"/>
      </rPr>
      <t xml:space="preserve">or </t>
    </r>
    <r>
      <rPr>
        <sz val="9"/>
        <color rgb="FF333333"/>
        <rFont val="Noto Sans CJK KR"/>
        <family val="2"/>
      </rPr>
      <t xml:space="preserve">전환율 올리거나 </t>
    </r>
    <r>
      <rPr>
        <sz val="9"/>
        <color rgb="FF333333"/>
        <rFont val="Arial"/>
        <family val="0"/>
        <charset val="1"/>
      </rPr>
      <t xml:space="preserve">CPC </t>
    </r>
    <r>
      <rPr>
        <sz val="9"/>
        <color rgb="FF333333"/>
        <rFont val="Noto Sans CJK KR"/>
        <family val="2"/>
      </rPr>
      <t xml:space="preserve">낮춰야</t>
    </r>
  </si>
  <si>
    <r>
      <rPr>
        <i val="true"/>
        <sz val="9"/>
        <color rgb="FF6C5CE7"/>
        <rFont val="Arial"/>
        <family val="0"/>
        <charset val="1"/>
      </rPr>
      <t xml:space="preserve">📌 T1 $4.9 </t>
    </r>
    <r>
      <rPr>
        <i val="true"/>
        <sz val="9"/>
        <color rgb="FF6C5CE7"/>
        <rFont val="Noto Sans CJK KR"/>
        <family val="2"/>
      </rPr>
      <t xml:space="preserve">기준</t>
    </r>
    <r>
      <rPr>
        <i val="true"/>
        <sz val="9"/>
        <color rgb="FF6C5CE7"/>
        <rFont val="Arial"/>
        <family val="0"/>
        <charset val="1"/>
      </rPr>
      <t xml:space="preserve">: </t>
    </r>
    <r>
      <rPr>
        <i val="true"/>
        <sz val="9"/>
        <color rgb="FF6C5CE7"/>
        <rFont val="Noto Sans CJK KR"/>
        <family val="2"/>
      </rPr>
      <t xml:space="preserve">월 </t>
    </r>
    <r>
      <rPr>
        <i val="true"/>
        <sz val="9"/>
        <color rgb="FF6C5CE7"/>
        <rFont val="Arial"/>
        <family val="0"/>
        <charset val="1"/>
      </rPr>
      <t xml:space="preserve">350</t>
    </r>
    <r>
      <rPr>
        <i val="true"/>
        <sz val="9"/>
        <color rgb="FF6C5CE7"/>
        <rFont val="Noto Sans CJK KR"/>
        <family val="2"/>
      </rPr>
      <t xml:space="preserve">달러 비용 커버하려면 약 </t>
    </r>
    <r>
      <rPr>
        <i val="true"/>
        <sz val="9"/>
        <color rgb="FF6C5CE7"/>
        <rFont val="Arial"/>
        <family val="0"/>
        <charset val="1"/>
      </rPr>
      <t xml:space="preserve">80</t>
    </r>
    <r>
      <rPr>
        <i val="true"/>
        <sz val="9"/>
        <color rgb="FF6C5CE7"/>
        <rFont val="Noto Sans CJK KR"/>
        <family val="2"/>
      </rPr>
      <t xml:space="preserve">건 판매 필요 → 월 검사 완료자 약 </t>
    </r>
    <r>
      <rPr>
        <i val="true"/>
        <sz val="9"/>
        <color rgb="FF6C5CE7"/>
        <rFont val="Arial"/>
        <family val="0"/>
        <charset val="1"/>
      </rPr>
      <t xml:space="preserve">1,300</t>
    </r>
    <r>
      <rPr>
        <i val="true"/>
        <sz val="9"/>
        <color rgb="FF6C5CE7"/>
        <rFont val="Noto Sans CJK KR"/>
        <family val="2"/>
      </rPr>
      <t xml:space="preserve">명 필요 → 광고 클릭 약 </t>
    </r>
    <r>
      <rPr>
        <i val="true"/>
        <sz val="9"/>
        <color rgb="FF6C5CE7"/>
        <rFont val="Arial"/>
        <family val="0"/>
        <charset val="1"/>
      </rPr>
      <t xml:space="preserve">2,000</t>
    </r>
    <r>
      <rPr>
        <i val="true"/>
        <sz val="9"/>
        <color rgb="FF6C5CE7"/>
        <rFont val="Noto Sans CJK KR"/>
        <family val="2"/>
      </rPr>
      <t xml:space="preserve">명 → 광고비 약 </t>
    </r>
    <r>
      <rPr>
        <i val="true"/>
        <sz val="9"/>
        <color rgb="FF6C5CE7"/>
        <rFont val="Arial"/>
        <family val="0"/>
        <charset val="1"/>
      </rPr>
      <t xml:space="preserve">$500 </t>
    </r>
    <r>
      <rPr>
        <i val="true"/>
        <sz val="9"/>
        <color rgb="FF6C5CE7"/>
        <rFont val="Noto Sans CJK KR"/>
        <family val="2"/>
      </rPr>
      <t xml:space="preserve">필요</t>
    </r>
    <r>
      <rPr>
        <i val="true"/>
        <sz val="9"/>
        <color rgb="FF6C5CE7"/>
        <rFont val="Arial"/>
        <family val="0"/>
        <charset val="1"/>
      </rPr>
      <t xml:space="preserve">. → T1</t>
    </r>
    <r>
      <rPr>
        <i val="true"/>
        <sz val="9"/>
        <color rgb="FF6C5CE7"/>
        <rFont val="Noto Sans CJK KR"/>
        <family val="2"/>
      </rPr>
      <t xml:space="preserve">만으로는 </t>
    </r>
    <r>
      <rPr>
        <i val="true"/>
        <sz val="9"/>
        <color rgb="FF6C5CE7"/>
        <rFont val="Arial"/>
        <family val="0"/>
        <charset val="1"/>
      </rPr>
      <t xml:space="preserve">BEP </t>
    </r>
    <r>
      <rPr>
        <i val="true"/>
        <sz val="9"/>
        <color rgb="FF6C5CE7"/>
        <rFont val="Noto Sans CJK KR"/>
        <family val="2"/>
      </rPr>
      <t xml:space="preserve">도달이 빡빡함</t>
    </r>
    <r>
      <rPr>
        <i val="true"/>
        <sz val="9"/>
        <color rgb="FF6C5CE7"/>
        <rFont val="Arial"/>
        <family val="0"/>
        <charset val="1"/>
      </rPr>
      <t xml:space="preserve">. T2($9.9) </t>
    </r>
    <r>
      <rPr>
        <i val="true"/>
        <sz val="9"/>
        <color rgb="FF6C5CE7"/>
        <rFont val="Noto Sans CJK KR"/>
        <family val="2"/>
      </rPr>
      <t xml:space="preserve">업셀 </t>
    </r>
    <r>
      <rPr>
        <i val="true"/>
        <sz val="9"/>
        <color rgb="FF6C5CE7"/>
        <rFont val="Arial"/>
        <family val="0"/>
        <charset val="1"/>
      </rPr>
      <t xml:space="preserve">15%</t>
    </r>
    <r>
      <rPr>
        <i val="true"/>
        <sz val="9"/>
        <color rgb="FF6C5CE7"/>
        <rFont val="Noto Sans CJK KR"/>
        <family val="2"/>
      </rPr>
      <t xml:space="preserve">만 달성해도 수익구조 역전</t>
    </r>
    <r>
      <rPr>
        <i val="true"/>
        <sz val="9"/>
        <color rgb="FF6C5CE7"/>
        <rFont val="Arial"/>
        <family val="0"/>
        <charset val="1"/>
      </rPr>
      <t xml:space="preserve">. </t>
    </r>
    <r>
      <rPr>
        <i val="true"/>
        <sz val="9"/>
        <color rgb="FF6C5CE7"/>
        <rFont val="Noto Sans CJK KR"/>
        <family val="2"/>
      </rPr>
      <t xml:space="preserve">번들 판매 유도가 핵심 전략</t>
    </r>
    <r>
      <rPr>
        <i val="true"/>
        <sz val="9"/>
        <color rgb="FF6C5CE7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</si>
</sst>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\$#,##0.00"/>
    <numFmt numFmtId="167" formatCode="0.0%"/>
    <numFmt numFmtId="168" formatCode="0.00"/>
    <numFmt numFmtId="169" formatCode="#,##0"/>
    <numFmt numFmtId="170" formatCode="0.0\x"/>
    <numFmt numFmtId="171" formatCode="0&quot;개월&quot;"/>
    <numFmt numFmtId="172" formatCode="#,##0\건"/>
    <numFmt numFmtId="173" formatCode="#,##0\명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KR"/>
      <family val="2"/>
    </font>
    <font>
      <i val="true"/>
      <sz val="10"/>
      <color rgb="FF1A1A2E"/>
      <name val="Noto Sans CJK KR"/>
      <family val="2"/>
    </font>
    <font>
      <i val="true"/>
      <sz val="10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KR"/>
      <family val="2"/>
    </font>
    <font>
      <sz val="10"/>
      <color rgb="FF000000"/>
      <name val="Noto Sans CJK KR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Noto Sans CJK KR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333333"/>
      <name val="Noto Sans CJK KR"/>
      <family val="2"/>
    </font>
    <font>
      <b val="true"/>
      <sz val="10"/>
      <color rgb="FF000000"/>
      <name val="Noto Sans CJK KR"/>
      <family val="2"/>
    </font>
    <font>
      <i val="true"/>
      <sz val="9"/>
      <color rgb="FF6C5CE7"/>
      <name val="Noto Sans CJK KR"/>
      <family val="2"/>
    </font>
    <font>
      <i val="true"/>
      <sz val="9"/>
      <color rgb="FF6C5CE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EF9E7"/>
        <bgColor rgb="FFF2F3F4"/>
      </patternFill>
    </fill>
    <fill>
      <patternFill patternType="solid">
        <fgColor rgb="FF4A90D9"/>
        <bgColor rgb="FF808080"/>
      </patternFill>
    </fill>
    <fill>
      <patternFill patternType="solid">
        <fgColor rgb="FF6C5CE7"/>
        <bgColor rgb="FF666666"/>
      </patternFill>
    </fill>
    <fill>
      <patternFill patternType="solid">
        <fgColor rgb="FFD5E8F4"/>
        <bgColor rgb="FFD5F5E3"/>
      </patternFill>
    </fill>
    <fill>
      <patternFill patternType="solid">
        <fgColor rgb="FFF2F3F4"/>
        <bgColor rgb="FFFEF9E7"/>
      </patternFill>
    </fill>
    <fill>
      <patternFill patternType="solid">
        <fgColor rgb="FF00B894"/>
        <bgColor rgb="FF00CCFF"/>
      </patternFill>
    </fill>
    <fill>
      <patternFill patternType="solid">
        <fgColor rgb="FFFFFFFF"/>
        <bgColor rgb="FFFEF9E7"/>
      </patternFill>
    </fill>
    <fill>
      <patternFill patternType="solid">
        <fgColor rgb="FFE17055"/>
        <bgColor rgb="FFFF6600"/>
      </patternFill>
    </fill>
    <fill>
      <patternFill patternType="solid">
        <fgColor rgb="FFD5F5E3"/>
        <bgColor rgb="FFD5E8F4"/>
      </patternFill>
    </fill>
    <fill>
      <patternFill patternType="solid">
        <fgColor rgb="FFFADBD8"/>
        <bgColor rgb="FFF2F3F4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4A90D9"/>
      </left>
      <right style="thin">
        <color rgb="FF4A90D9"/>
      </right>
      <top style="thin">
        <color rgb="FF4A90D9"/>
      </top>
      <bottom style="thin">
        <color rgb="FF4A90D9"/>
      </bottom>
      <diagonal/>
    </border>
    <border diagonalUp="false" diagonalDown="false">
      <left style="thin">
        <color rgb="FF6C5CE7"/>
      </left>
      <right style="thin">
        <color rgb="FF6C5CE7"/>
      </right>
      <top style="thin">
        <color rgb="FF6C5CE7"/>
      </top>
      <bottom style="thin">
        <color rgb="FF6C5CE7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00B894"/>
      </left>
      <right style="thin">
        <color rgb="FF00B894"/>
      </right>
      <top style="thin">
        <color rgb="FF00B894"/>
      </top>
      <bottom style="thin">
        <color rgb="FF00B894"/>
      </bottom>
      <diagonal/>
    </border>
    <border diagonalUp="false" diagonalDown="false">
      <left style="thin">
        <color rgb="FFF9CA24"/>
      </left>
      <right/>
      <top style="thin">
        <color rgb="FFF9CA24"/>
      </top>
      <bottom style="thin">
        <color rgb="FFF9CA24"/>
      </bottom>
      <diagonal/>
    </border>
    <border diagonalUp="false" diagonalDown="false">
      <left style="thin">
        <color rgb="FF1A1A2E"/>
      </left>
      <right style="thin">
        <color rgb="FF1A1A2E"/>
      </right>
      <top style="thin">
        <color rgb="FF1A1A2E"/>
      </top>
      <bottom style="thin">
        <color rgb="FF1A1A2E"/>
      </bottom>
      <diagonal/>
    </border>
    <border diagonalUp="false" diagonalDown="false">
      <left style="thin">
        <color rgb="FFE17055"/>
      </left>
      <right style="thin">
        <color rgb="FFE17055"/>
      </right>
      <top style="thin">
        <color rgb="FFE17055"/>
      </top>
      <bottom style="thin">
        <color rgb="FFE17055"/>
      </bottom>
      <diagonal/>
    </border>
    <border diagonalUp="false" diagonalDown="false">
      <left style="thin">
        <color rgb="FF4A90D9"/>
      </left>
      <right/>
      <top style="thin">
        <color rgb="FF4A90D9"/>
      </top>
      <bottom style="thin">
        <color rgb="FF4A90D9"/>
      </bottom>
      <diagonal/>
    </border>
    <border diagonalUp="false" diagonalDown="false">
      <left style="thin">
        <color rgb="FF00B894"/>
      </left>
      <right/>
      <top style="thin">
        <color rgb="FF00B894"/>
      </top>
      <bottom style="thin">
        <color rgb="FF00B894"/>
      </bottom>
      <diagonal/>
    </border>
    <border diagonalUp="false" diagonalDown="false">
      <left style="thin">
        <color rgb="FFE17055"/>
      </left>
      <right/>
      <top style="thin">
        <color rgb="FFE17055"/>
      </top>
      <bottom style="thin">
        <color rgb="FFE17055"/>
      </bottom>
      <diagonal/>
    </border>
    <border diagonalUp="false" diagonalDown="false">
      <left style="thin">
        <color rgb="FF1A1A2E"/>
      </left>
      <right/>
      <top style="thin">
        <color rgb="FF1A1A2E"/>
      </top>
      <bottom style="thin">
        <color rgb="FF1A1A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5E8F4"/>
      <rgbColor rgb="FF660066"/>
      <rgbColor rgb="FFE1705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BD8"/>
      <rgbColor rgb="FF6C5CE7"/>
      <rgbColor rgb="FF00B894"/>
      <rgbColor rgb="FF99CC00"/>
      <rgbColor rgb="FFF9CA24"/>
      <rgbColor rgb="FFFF9900"/>
      <rgbColor rgb="FFFF6600"/>
      <rgbColor rgb="FF666666"/>
      <rgbColor rgb="FF969696"/>
      <rgbColor rgb="FF003366"/>
      <rgbColor rgb="FF4A90D9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6" min="5" style="0" width="16"/>
    <col collapsed="false" customWidth="true" hidden="false" outlineLevel="0" max="7" min="7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4"/>
    </row>
    <row r="5" customFormat="false" ht="19.5" hidden="false" customHeight="true" outlineLevel="0" collapsed="false">
      <c r="A5" s="5" t="s">
        <v>4</v>
      </c>
      <c r="B5" s="6" t="n">
        <v>300</v>
      </c>
      <c r="C5" s="7" t="s">
        <v>5</v>
      </c>
      <c r="D5" s="7"/>
      <c r="E5" s="7"/>
      <c r="F5" s="7"/>
      <c r="G5" s="7"/>
    </row>
    <row r="6" customFormat="false" ht="19.5" hidden="false" customHeight="true" outlineLevel="0" collapsed="false">
      <c r="A6" s="5" t="s">
        <v>6</v>
      </c>
      <c r="B6" s="8" t="n">
        <v>0.25</v>
      </c>
      <c r="C6" s="7" t="s">
        <v>7</v>
      </c>
      <c r="D6" s="7"/>
      <c r="E6" s="7"/>
      <c r="F6" s="7"/>
      <c r="G6" s="7"/>
    </row>
    <row r="7" customFormat="false" ht="19.5" hidden="false" customHeight="true" outlineLevel="0" collapsed="false">
      <c r="A7" s="5" t="s">
        <v>8</v>
      </c>
      <c r="B7" s="9" t="n">
        <v>0.65</v>
      </c>
      <c r="C7" s="7" t="s">
        <v>9</v>
      </c>
      <c r="D7" s="7"/>
      <c r="E7" s="7"/>
      <c r="F7" s="7"/>
      <c r="G7" s="7"/>
    </row>
    <row r="8" customFormat="false" ht="19.5" hidden="false" customHeight="true" outlineLevel="0" collapsed="false">
      <c r="A8" s="5" t="s">
        <v>10</v>
      </c>
      <c r="B8" s="9" t="n">
        <v>0.06</v>
      </c>
      <c r="C8" s="10" t="s">
        <v>11</v>
      </c>
      <c r="D8" s="10"/>
      <c r="E8" s="10"/>
      <c r="F8" s="10"/>
      <c r="G8" s="10"/>
    </row>
    <row r="9" customFormat="false" ht="19.5" hidden="false" customHeight="true" outlineLevel="0" collapsed="false">
      <c r="A9" s="5" t="s">
        <v>12</v>
      </c>
      <c r="B9" s="9" t="n">
        <v>0.025</v>
      </c>
      <c r="C9" s="7" t="s">
        <v>13</v>
      </c>
      <c r="D9" s="7"/>
      <c r="E9" s="7"/>
      <c r="F9" s="7"/>
      <c r="G9" s="7"/>
    </row>
    <row r="10" customFormat="false" ht="19.5" hidden="false" customHeight="true" outlineLevel="0" collapsed="false">
      <c r="A10" s="5" t="s">
        <v>14</v>
      </c>
      <c r="B10" s="9" t="n">
        <v>0.01</v>
      </c>
      <c r="C10" s="7" t="s">
        <v>15</v>
      </c>
      <c r="D10" s="7"/>
      <c r="E10" s="7"/>
      <c r="F10" s="7"/>
      <c r="G10" s="7"/>
    </row>
    <row r="11" customFormat="false" ht="19.5" hidden="false" customHeight="true" outlineLevel="0" collapsed="false">
      <c r="A11" s="5" t="s">
        <v>16</v>
      </c>
      <c r="B11" s="11" t="n">
        <v>1.2</v>
      </c>
      <c r="C11" s="10" t="s">
        <v>17</v>
      </c>
      <c r="D11" s="10"/>
      <c r="E11" s="10"/>
      <c r="F11" s="10"/>
      <c r="G11" s="10"/>
    </row>
    <row r="12" customFormat="false" ht="19.5" hidden="false" customHeight="true" outlineLevel="0" collapsed="false">
      <c r="A12" s="5" t="s">
        <v>18</v>
      </c>
      <c r="B12" s="9" t="n">
        <v>0.099</v>
      </c>
      <c r="C12" s="7" t="s">
        <v>19</v>
      </c>
      <c r="D12" s="7"/>
      <c r="E12" s="7"/>
      <c r="F12" s="7"/>
      <c r="G12" s="7"/>
    </row>
    <row r="13" customFormat="false" ht="19.5" hidden="false" customHeight="true" outlineLevel="0" collapsed="false">
      <c r="A13" s="5" t="s">
        <v>20</v>
      </c>
      <c r="B13" s="6" t="n">
        <v>50</v>
      </c>
      <c r="C13" s="7" t="s">
        <v>21</v>
      </c>
      <c r="D13" s="7"/>
      <c r="E13" s="7"/>
      <c r="F13" s="7"/>
      <c r="G13" s="7"/>
    </row>
    <row r="15" customFormat="false" ht="21.75" hidden="false" customHeight="true" outlineLevel="0" collapsed="false">
      <c r="A15" s="12" t="s">
        <v>22</v>
      </c>
      <c r="B15" s="12"/>
      <c r="C15" s="13" t="s">
        <v>23</v>
      </c>
      <c r="D15" s="13" t="s">
        <v>24</v>
      </c>
      <c r="E15" s="13" t="s">
        <v>25</v>
      </c>
      <c r="F15" s="13"/>
      <c r="G15" s="13"/>
    </row>
    <row r="16" customFormat="false" ht="19.5" hidden="false" customHeight="true" outlineLevel="0" collapsed="false">
      <c r="A16" s="14" t="s">
        <v>26</v>
      </c>
      <c r="B16" s="8" t="n">
        <v>4.9</v>
      </c>
      <c r="C16" s="15" t="n">
        <f aca="false">B16*(1-$B$12)</f>
        <v>4.4149</v>
      </c>
      <c r="D16" s="16" t="s">
        <v>27</v>
      </c>
      <c r="E16" s="16"/>
      <c r="F16" s="16"/>
      <c r="G16" s="16"/>
    </row>
    <row r="17" customFormat="false" ht="19.5" hidden="false" customHeight="true" outlineLevel="0" collapsed="false">
      <c r="A17" s="17" t="s">
        <v>28</v>
      </c>
      <c r="B17" s="8" t="n">
        <v>9.9</v>
      </c>
      <c r="C17" s="18" t="n">
        <f aca="false">B17*(1-$B$12)</f>
        <v>8.9199</v>
      </c>
      <c r="D17" s="19" t="s">
        <v>29</v>
      </c>
      <c r="E17" s="19"/>
      <c r="F17" s="19"/>
      <c r="G17" s="19"/>
    </row>
    <row r="18" customFormat="false" ht="19.5" hidden="false" customHeight="true" outlineLevel="0" collapsed="false">
      <c r="A18" s="14" t="s">
        <v>30</v>
      </c>
      <c r="B18" s="8" t="n">
        <v>19.9</v>
      </c>
      <c r="C18" s="15" t="n">
        <f aca="false">B18*(1-$B$12)</f>
        <v>17.9299</v>
      </c>
      <c r="D18" s="16" t="s">
        <v>31</v>
      </c>
      <c r="E18" s="16"/>
      <c r="F18" s="16"/>
      <c r="G18" s="16"/>
    </row>
    <row r="19" customFormat="false" ht="19.5" hidden="false" customHeight="true" outlineLevel="0" collapsed="false">
      <c r="A19" s="17" t="s">
        <v>32</v>
      </c>
      <c r="B19" s="8" t="n">
        <v>7.9</v>
      </c>
      <c r="C19" s="18" t="n">
        <f aca="false">B19*(1-$B$12)</f>
        <v>7.1179</v>
      </c>
      <c r="D19" s="20" t="s">
        <v>33</v>
      </c>
      <c r="E19" s="20"/>
      <c r="F19" s="20"/>
      <c r="G19" s="20"/>
    </row>
    <row r="20" customFormat="false" ht="19.5" hidden="false" customHeight="true" outlineLevel="0" collapsed="false">
      <c r="A20" s="14" t="s">
        <v>34</v>
      </c>
      <c r="B20" s="8" t="n">
        <v>7.9</v>
      </c>
      <c r="C20" s="15" t="n">
        <f aca="false">B20*(1-$B$12)</f>
        <v>7.1179</v>
      </c>
      <c r="D20" s="21" t="s">
        <v>35</v>
      </c>
      <c r="E20" s="21"/>
      <c r="F20" s="21"/>
      <c r="G20" s="21"/>
    </row>
    <row r="21" customFormat="false" ht="19.5" hidden="false" customHeight="true" outlineLevel="0" collapsed="false">
      <c r="A21" s="17" t="s">
        <v>36</v>
      </c>
      <c r="B21" s="8" t="n">
        <v>7.9</v>
      </c>
      <c r="C21" s="18" t="n">
        <f aca="false">B21*(1-$B$12)</f>
        <v>7.1179</v>
      </c>
      <c r="D21" s="20" t="s">
        <v>37</v>
      </c>
      <c r="E21" s="20"/>
      <c r="F21" s="20"/>
      <c r="G21" s="20"/>
    </row>
    <row r="22" customFormat="false" ht="19.5" hidden="false" customHeight="true" outlineLevel="0" collapsed="false">
      <c r="A22" s="22" t="s">
        <v>38</v>
      </c>
      <c r="B22" s="8" t="n">
        <v>12.9</v>
      </c>
      <c r="C22" s="15" t="n">
        <f aca="false">B22*(1-$B$12)</f>
        <v>11.6229</v>
      </c>
      <c r="D22" s="16" t="s">
        <v>39</v>
      </c>
      <c r="E22" s="16"/>
      <c r="F22" s="16"/>
      <c r="G22" s="16"/>
    </row>
    <row r="23" customFormat="false" ht="19.5" hidden="false" customHeight="true" outlineLevel="0" collapsed="false">
      <c r="A23" s="23" t="s">
        <v>40</v>
      </c>
      <c r="B23" s="8" t="n">
        <v>26.9</v>
      </c>
      <c r="C23" s="18" t="n">
        <f aca="false">B23*(1-$B$12)</f>
        <v>24.2369</v>
      </c>
      <c r="D23" s="19" t="s">
        <v>41</v>
      </c>
      <c r="E23" s="19"/>
      <c r="F23" s="19"/>
      <c r="G23" s="19"/>
    </row>
    <row r="24" customFormat="false" ht="19.5" hidden="false" customHeight="true" outlineLevel="0" collapsed="false">
      <c r="A24" s="22" t="s">
        <v>42</v>
      </c>
      <c r="B24" s="8" t="n">
        <v>39.9</v>
      </c>
      <c r="C24" s="15" t="n">
        <f aca="false">B24*(1-$B$12)</f>
        <v>35.9499</v>
      </c>
      <c r="D24" s="21" t="s">
        <v>43</v>
      </c>
      <c r="E24" s="21"/>
      <c r="F24" s="21"/>
      <c r="G24" s="21"/>
    </row>
    <row r="25" customFormat="false" ht="31.5" hidden="false" customHeight="true" outlineLevel="0" collapsed="false">
      <c r="A25" s="24" t="s">
        <v>44</v>
      </c>
      <c r="B25" s="24"/>
      <c r="C25" s="24"/>
      <c r="D25" s="24"/>
      <c r="E25" s="24"/>
      <c r="F25" s="24"/>
      <c r="G25" s="24"/>
    </row>
  </sheetData>
  <mergeCells count="25">
    <mergeCell ref="A1:G1"/>
    <mergeCell ref="A2:G2"/>
    <mergeCell ref="A4:C4"/>
    <mergeCell ref="D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A15:B15"/>
    <mergeCell ref="E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  <col collapsed="false" customWidth="true" hidden="false" outlineLevel="0" max="15" min="15" style="0" width="14"/>
  </cols>
  <sheetData>
    <row r="1" customFormat="false" ht="36" hidden="false" customHeight="true" outlineLevel="0" collapsed="false">
      <c r="A1" s="25" t="s">
        <v>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19.5" hidden="false" customHeight="true" outlineLevel="0" collapsed="false">
      <c r="A2" s="26" t="s">
        <v>46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customFormat="false" ht="19.5" hidden="false" customHeight="true" outlineLevel="0" collapsed="false">
      <c r="A4" s="4" t="s">
        <v>47</v>
      </c>
      <c r="B4" s="4"/>
      <c r="C4" s="4"/>
      <c r="D4" s="4"/>
      <c r="E4" s="4" t="s">
        <v>48</v>
      </c>
    </row>
    <row r="5" customFormat="false" ht="18" hidden="false" customHeight="true" outlineLevel="0" collapsed="false">
      <c r="A5" s="27" t="s">
        <v>49</v>
      </c>
      <c r="B5" s="27"/>
      <c r="C5" s="27"/>
      <c r="D5" s="27"/>
      <c r="E5" s="28" t="n">
        <f aca="false">'① 가격 전략'!B5</f>
        <v>300</v>
      </c>
    </row>
    <row r="6" customFormat="false" ht="18" hidden="false" customHeight="true" outlineLevel="0" collapsed="false">
      <c r="A6" s="29" t="s">
        <v>50</v>
      </c>
      <c r="B6" s="29"/>
      <c r="C6" s="29"/>
      <c r="D6" s="29"/>
      <c r="E6" s="15" t="n">
        <f aca="false">'① 가격 전략'!B6</f>
        <v>0.25</v>
      </c>
    </row>
    <row r="7" customFormat="false" ht="18" hidden="false" customHeight="true" outlineLevel="0" collapsed="false">
      <c r="A7" s="27" t="s">
        <v>8</v>
      </c>
      <c r="B7" s="27"/>
      <c r="C7" s="27"/>
      <c r="D7" s="27"/>
      <c r="E7" s="30" t="n">
        <f aca="false">'① 가격 전략'!B7</f>
        <v>0.65</v>
      </c>
    </row>
    <row r="8" customFormat="false" ht="18" hidden="false" customHeight="true" outlineLevel="0" collapsed="false">
      <c r="A8" s="27" t="s">
        <v>51</v>
      </c>
      <c r="B8" s="27"/>
      <c r="C8" s="27"/>
      <c r="D8" s="27"/>
      <c r="E8" s="30" t="n">
        <f aca="false">'① 가격 전략'!B8</f>
        <v>0.06</v>
      </c>
    </row>
    <row r="9" customFormat="false" ht="18" hidden="false" customHeight="true" outlineLevel="0" collapsed="false">
      <c r="A9" s="27" t="s">
        <v>52</v>
      </c>
      <c r="B9" s="27"/>
      <c r="C9" s="27"/>
      <c r="D9" s="27"/>
      <c r="E9" s="30" t="n">
        <f aca="false">'① 가격 전략'!B9</f>
        <v>0.025</v>
      </c>
    </row>
    <row r="10" customFormat="false" ht="18" hidden="false" customHeight="true" outlineLevel="0" collapsed="false">
      <c r="A10" s="27" t="s">
        <v>53</v>
      </c>
      <c r="B10" s="27"/>
      <c r="C10" s="27"/>
      <c r="D10" s="27"/>
      <c r="E10" s="30" t="n">
        <f aca="false">'① 가격 전략'!B10</f>
        <v>0.01</v>
      </c>
    </row>
    <row r="11" customFormat="false" ht="18" hidden="false" customHeight="true" outlineLevel="0" collapsed="false">
      <c r="A11" s="27" t="s">
        <v>16</v>
      </c>
      <c r="B11" s="27"/>
      <c r="C11" s="27"/>
      <c r="D11" s="27"/>
      <c r="E11" s="31" t="n">
        <f aca="false">'① 가격 전략'!B11</f>
        <v>1.2</v>
      </c>
    </row>
    <row r="12" customFormat="false" ht="18" hidden="false" customHeight="true" outlineLevel="0" collapsed="false">
      <c r="A12" s="29" t="s">
        <v>54</v>
      </c>
      <c r="B12" s="29"/>
      <c r="C12" s="29"/>
      <c r="D12" s="29"/>
      <c r="E12" s="15" t="n">
        <f aca="false">'① 가격 전략'!B16</f>
        <v>4.9</v>
      </c>
    </row>
    <row r="13" customFormat="false" ht="18" hidden="false" customHeight="true" outlineLevel="0" collapsed="false">
      <c r="A13" s="29" t="s">
        <v>55</v>
      </c>
      <c r="B13" s="29"/>
      <c r="C13" s="29"/>
      <c r="D13" s="29"/>
      <c r="E13" s="15" t="n">
        <f aca="false">'① 가격 전략'!B17</f>
        <v>9.9</v>
      </c>
    </row>
    <row r="14" customFormat="false" ht="18" hidden="false" customHeight="true" outlineLevel="0" collapsed="false">
      <c r="A14" s="29" t="s">
        <v>56</v>
      </c>
      <c r="B14" s="29"/>
      <c r="C14" s="29"/>
      <c r="D14" s="29"/>
      <c r="E14" s="15" t="n">
        <f aca="false">'① 가격 전략'!B18</f>
        <v>19.9</v>
      </c>
    </row>
    <row r="15" customFormat="false" ht="18" hidden="false" customHeight="true" outlineLevel="0" collapsed="false">
      <c r="A15" s="27" t="s">
        <v>18</v>
      </c>
      <c r="B15" s="27"/>
      <c r="C15" s="27"/>
      <c r="D15" s="27"/>
      <c r="E15" s="30" t="n">
        <f aca="false">'① 가격 전략'!B12</f>
        <v>0.099</v>
      </c>
    </row>
    <row r="16" customFormat="false" ht="18" hidden="false" customHeight="true" outlineLevel="0" collapsed="false">
      <c r="A16" s="27" t="s">
        <v>57</v>
      </c>
      <c r="B16" s="27"/>
      <c r="C16" s="27"/>
      <c r="D16" s="27"/>
      <c r="E16" s="28" t="n">
        <f aca="false">'① 가격 전략'!B13</f>
        <v>50</v>
      </c>
    </row>
    <row r="19" customFormat="false" ht="24" hidden="false" customHeight="true" outlineLevel="0" collapsed="false">
      <c r="A19" s="32" t="s">
        <v>58</v>
      </c>
      <c r="B19" s="33" t="s">
        <v>59</v>
      </c>
      <c r="C19" s="33" t="s">
        <v>60</v>
      </c>
      <c r="D19" s="33" t="s">
        <v>61</v>
      </c>
      <c r="E19" s="33" t="s">
        <v>62</v>
      </c>
      <c r="F19" s="33" t="s">
        <v>63</v>
      </c>
      <c r="G19" s="33" t="s">
        <v>64</v>
      </c>
      <c r="H19" s="33" t="s">
        <v>65</v>
      </c>
      <c r="I19" s="33" t="s">
        <v>66</v>
      </c>
      <c r="J19" s="33" t="s">
        <v>67</v>
      </c>
      <c r="K19" s="33" t="s">
        <v>68</v>
      </c>
      <c r="L19" s="33" t="s">
        <v>69</v>
      </c>
      <c r="M19" s="33" t="s">
        <v>70</v>
      </c>
      <c r="N19" s="34" t="s">
        <v>71</v>
      </c>
    </row>
    <row r="20" customFormat="false" ht="21.75" hidden="false" customHeight="true" outlineLevel="0" collapsed="false">
      <c r="A20" s="35" t="s">
        <v>72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customFormat="false" ht="19.5" hidden="false" customHeight="true" outlineLevel="0" collapsed="false">
      <c r="A21" s="5" t="s">
        <v>73</v>
      </c>
      <c r="B21" s="36" t="n">
        <f aca="false">$E$5/$E$6</f>
        <v>1200</v>
      </c>
      <c r="C21" s="36" t="n">
        <f aca="false">$E$5/$E$6</f>
        <v>1200</v>
      </c>
      <c r="D21" s="36" t="n">
        <f aca="false">$E$5/$E$6</f>
        <v>1200</v>
      </c>
      <c r="E21" s="36" t="n">
        <f aca="false">$E$5/$E$6</f>
        <v>1200</v>
      </c>
      <c r="F21" s="36" t="n">
        <f aca="false">$E$5/$E$6</f>
        <v>1200</v>
      </c>
      <c r="G21" s="36" t="n">
        <f aca="false">$E$5/$E$6</f>
        <v>1200</v>
      </c>
      <c r="H21" s="36" t="n">
        <f aca="false">$E$5/$E$6</f>
        <v>1200</v>
      </c>
      <c r="I21" s="36" t="n">
        <f aca="false">$E$5/$E$6</f>
        <v>1200</v>
      </c>
      <c r="J21" s="36" t="n">
        <f aca="false">$E$5/$E$6</f>
        <v>1200</v>
      </c>
      <c r="K21" s="36" t="n">
        <f aca="false">$E$5/$E$6</f>
        <v>1200</v>
      </c>
      <c r="L21" s="36" t="n">
        <f aca="false">$E$5/$E$6</f>
        <v>1200</v>
      </c>
      <c r="M21" s="36" t="n">
        <f aca="false">$E$5/$E$6</f>
        <v>1200</v>
      </c>
      <c r="N21" s="37" t="n">
        <f aca="false">SUM(B21:M21)</f>
        <v>14400</v>
      </c>
    </row>
    <row r="22" customFormat="false" ht="19.5" hidden="false" customHeight="true" outlineLevel="0" collapsed="false">
      <c r="A22" s="38" t="s">
        <v>74</v>
      </c>
      <c r="B22" s="39" t="n">
        <v>0</v>
      </c>
      <c r="C22" s="40" t="n">
        <f aca="false">B24*$E$11</f>
        <v>936</v>
      </c>
      <c r="D22" s="40" t="n">
        <f aca="false">C24*$E$11</f>
        <v>1666.08</v>
      </c>
      <c r="E22" s="40" t="n">
        <f aca="false">D24*$E$11</f>
        <v>2235.5424</v>
      </c>
      <c r="F22" s="40" t="n">
        <f aca="false">E24*$E$11</f>
        <v>2679.723072</v>
      </c>
      <c r="G22" s="40" t="n">
        <f aca="false">F24*$E$11</f>
        <v>3026.18399616</v>
      </c>
      <c r="H22" s="40" t="n">
        <f aca="false">G24*$E$11</f>
        <v>3296.4235170048</v>
      </c>
      <c r="I22" s="40" t="n">
        <f aca="false">H24*$E$11</f>
        <v>3507.21034326374</v>
      </c>
      <c r="J22" s="40" t="n">
        <f aca="false">I24*$E$11</f>
        <v>3671.62406774572</v>
      </c>
      <c r="K22" s="40" t="n">
        <f aca="false">J24*$E$11</f>
        <v>3799.86677284166</v>
      </c>
      <c r="L22" s="40" t="n">
        <f aca="false">K24*$E$11</f>
        <v>3899.8960828165</v>
      </c>
      <c r="M22" s="40" t="n">
        <f aca="false">L24*$E$11</f>
        <v>3977.91894459687</v>
      </c>
      <c r="N22" s="37" t="n">
        <f aca="false">SUM(B22:M22)</f>
        <v>32696.4691964293</v>
      </c>
    </row>
    <row r="23" customFormat="false" ht="19.5" hidden="false" customHeight="true" outlineLevel="0" collapsed="false">
      <c r="A23" s="5" t="s">
        <v>75</v>
      </c>
      <c r="B23" s="36" t="n">
        <f aca="false">B21+B22</f>
        <v>1200</v>
      </c>
      <c r="C23" s="36" t="n">
        <f aca="false">C21+C22</f>
        <v>2136</v>
      </c>
      <c r="D23" s="36" t="n">
        <f aca="false">D21+D22</f>
        <v>2866.08</v>
      </c>
      <c r="E23" s="36" t="n">
        <f aca="false">E21+E22</f>
        <v>3435.5424</v>
      </c>
      <c r="F23" s="36" t="n">
        <f aca="false">F21+F22</f>
        <v>3879.723072</v>
      </c>
      <c r="G23" s="36" t="n">
        <f aca="false">G21+G22</f>
        <v>4226.18399616</v>
      </c>
      <c r="H23" s="36" t="n">
        <f aca="false">H21+H22</f>
        <v>4496.4235170048</v>
      </c>
      <c r="I23" s="36" t="n">
        <f aca="false">I21+I22</f>
        <v>4707.21034326374</v>
      </c>
      <c r="J23" s="36" t="n">
        <f aca="false">J21+J22</f>
        <v>4871.62406774572</v>
      </c>
      <c r="K23" s="36" t="n">
        <f aca="false">K21+K22</f>
        <v>4999.86677284166</v>
      </c>
      <c r="L23" s="36" t="n">
        <f aca="false">L21+L22</f>
        <v>5099.8960828165</v>
      </c>
      <c r="M23" s="36" t="n">
        <f aca="false">M21+M22</f>
        <v>5177.91894459687</v>
      </c>
      <c r="N23" s="37" t="n">
        <f aca="false">SUM(B23:M23)</f>
        <v>47096.4691964293</v>
      </c>
    </row>
    <row r="24" customFormat="false" ht="19.5" hidden="false" customHeight="true" outlineLevel="0" collapsed="false">
      <c r="A24" s="5" t="s">
        <v>76</v>
      </c>
      <c r="B24" s="36" t="n">
        <f aca="false">B23*$E$7</f>
        <v>780</v>
      </c>
      <c r="C24" s="36" t="n">
        <f aca="false">C23*$E$7</f>
        <v>1388.4</v>
      </c>
      <c r="D24" s="36" t="n">
        <f aca="false">D23*$E$7</f>
        <v>1862.952</v>
      </c>
      <c r="E24" s="36" t="n">
        <f aca="false">E23*$E$7</f>
        <v>2233.10256</v>
      </c>
      <c r="F24" s="36" t="n">
        <f aca="false">F23*$E$7</f>
        <v>2521.8199968</v>
      </c>
      <c r="G24" s="36" t="n">
        <f aca="false">G23*$E$7</f>
        <v>2747.019597504</v>
      </c>
      <c r="H24" s="36" t="n">
        <f aca="false">H23*$E$7</f>
        <v>2922.67528605312</v>
      </c>
      <c r="I24" s="36" t="n">
        <f aca="false">I23*$E$7</f>
        <v>3059.68672312143</v>
      </c>
      <c r="J24" s="36" t="n">
        <f aca="false">J23*$E$7</f>
        <v>3166.55564403472</v>
      </c>
      <c r="K24" s="36" t="n">
        <f aca="false">K23*$E$7</f>
        <v>3249.91340234708</v>
      </c>
      <c r="L24" s="36" t="n">
        <f aca="false">L23*$E$7</f>
        <v>3314.93245383072</v>
      </c>
      <c r="M24" s="36" t="n">
        <f aca="false">M23*$E$7</f>
        <v>3365.64731398796</v>
      </c>
      <c r="N24" s="37" t="n">
        <f aca="false">SUM(B24:M24)</f>
        <v>30612.704977679</v>
      </c>
    </row>
    <row r="25" customFormat="false" ht="21.75" hidden="false" customHeight="true" outlineLevel="0" collapsed="false">
      <c r="A25" s="41" t="s">
        <v>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customFormat="false" ht="19.5" hidden="false" customHeight="true" outlineLevel="0" collapsed="false">
      <c r="A26" s="42" t="s">
        <v>78</v>
      </c>
      <c r="B26" s="36" t="n">
        <f aca="false">ROUND(B24*$E$8,0)</f>
        <v>47</v>
      </c>
      <c r="C26" s="36" t="n">
        <f aca="false">ROUND(C24*$E$8,0)</f>
        <v>83</v>
      </c>
      <c r="D26" s="36" t="n">
        <f aca="false">ROUND(D24*$E$8,0)</f>
        <v>112</v>
      </c>
      <c r="E26" s="36" t="n">
        <f aca="false">ROUND(E24*$E$8,0)</f>
        <v>134</v>
      </c>
      <c r="F26" s="36" t="n">
        <f aca="false">ROUND(F24*$E$8,0)</f>
        <v>151</v>
      </c>
      <c r="G26" s="36" t="n">
        <f aca="false">ROUND(G24*$E$8,0)</f>
        <v>165</v>
      </c>
      <c r="H26" s="36" t="n">
        <f aca="false">ROUND(H24*$E$8,0)</f>
        <v>175</v>
      </c>
      <c r="I26" s="36" t="n">
        <f aca="false">ROUND(I24*$E$8,0)</f>
        <v>184</v>
      </c>
      <c r="J26" s="36" t="n">
        <f aca="false">ROUND(J24*$E$8,0)</f>
        <v>190</v>
      </c>
      <c r="K26" s="36" t="n">
        <f aca="false">ROUND(K24*$E$8,0)</f>
        <v>195</v>
      </c>
      <c r="L26" s="36" t="n">
        <f aca="false">ROUND(L24*$E$8,0)</f>
        <v>199</v>
      </c>
      <c r="M26" s="36" t="n">
        <f aca="false">ROUND(M24*$E$8,0)</f>
        <v>202</v>
      </c>
      <c r="N26" s="37" t="n">
        <f aca="false">SUM(B26:M26)</f>
        <v>1837</v>
      </c>
    </row>
    <row r="27" customFormat="false" ht="19.5" hidden="false" customHeight="true" outlineLevel="0" collapsed="false">
      <c r="A27" s="42" t="s">
        <v>79</v>
      </c>
      <c r="B27" s="36" t="n">
        <f aca="false">ROUND(B24*$E$9,0)</f>
        <v>20</v>
      </c>
      <c r="C27" s="36" t="n">
        <f aca="false">ROUND(C24*$E$9,0)</f>
        <v>35</v>
      </c>
      <c r="D27" s="36" t="n">
        <f aca="false">ROUND(D24*$E$9,0)</f>
        <v>47</v>
      </c>
      <c r="E27" s="36" t="n">
        <f aca="false">ROUND(E24*$E$9,0)</f>
        <v>56</v>
      </c>
      <c r="F27" s="36" t="n">
        <f aca="false">ROUND(F24*$E$9,0)</f>
        <v>63</v>
      </c>
      <c r="G27" s="36" t="n">
        <f aca="false">ROUND(G24*$E$9,0)</f>
        <v>69</v>
      </c>
      <c r="H27" s="36" t="n">
        <f aca="false">ROUND(H24*$E$9,0)</f>
        <v>73</v>
      </c>
      <c r="I27" s="36" t="n">
        <f aca="false">ROUND(I24*$E$9,0)</f>
        <v>76</v>
      </c>
      <c r="J27" s="36" t="n">
        <f aca="false">ROUND(J24*$E$9,0)</f>
        <v>79</v>
      </c>
      <c r="K27" s="36" t="n">
        <f aca="false">ROUND(K24*$E$9,0)</f>
        <v>81</v>
      </c>
      <c r="L27" s="36" t="n">
        <f aca="false">ROUND(L24*$E$9,0)</f>
        <v>83</v>
      </c>
      <c r="M27" s="36" t="n">
        <f aca="false">ROUND(M24*$E$9,0)</f>
        <v>84</v>
      </c>
      <c r="N27" s="37" t="n">
        <f aca="false">SUM(B27:M27)</f>
        <v>766</v>
      </c>
    </row>
    <row r="28" customFormat="false" ht="19.5" hidden="false" customHeight="true" outlineLevel="0" collapsed="false">
      <c r="A28" s="42" t="s">
        <v>80</v>
      </c>
      <c r="B28" s="36" t="n">
        <f aca="false">ROUND(B24*$E$10,0)</f>
        <v>8</v>
      </c>
      <c r="C28" s="36" t="n">
        <f aca="false">ROUND(C24*$E$10,0)</f>
        <v>14</v>
      </c>
      <c r="D28" s="36" t="n">
        <f aca="false">ROUND(D24*$E$10,0)</f>
        <v>19</v>
      </c>
      <c r="E28" s="36" t="n">
        <f aca="false">ROUND(E24*$E$10,0)</f>
        <v>22</v>
      </c>
      <c r="F28" s="36" t="n">
        <f aca="false">ROUND(F24*$E$10,0)</f>
        <v>25</v>
      </c>
      <c r="G28" s="36" t="n">
        <f aca="false">ROUND(G24*$E$10,0)</f>
        <v>27</v>
      </c>
      <c r="H28" s="36" t="n">
        <f aca="false">ROUND(H24*$E$10,0)</f>
        <v>29</v>
      </c>
      <c r="I28" s="36" t="n">
        <f aca="false">ROUND(I24*$E$10,0)</f>
        <v>31</v>
      </c>
      <c r="J28" s="36" t="n">
        <f aca="false">ROUND(J24*$E$10,0)</f>
        <v>32</v>
      </c>
      <c r="K28" s="36" t="n">
        <f aca="false">ROUND(K24*$E$10,0)</f>
        <v>32</v>
      </c>
      <c r="L28" s="36" t="n">
        <f aca="false">ROUND(L24*$E$10,0)</f>
        <v>33</v>
      </c>
      <c r="M28" s="36" t="n">
        <f aca="false">ROUND(M24*$E$10,0)</f>
        <v>34</v>
      </c>
      <c r="N28" s="37" t="n">
        <f aca="false">SUM(B28:M28)</f>
        <v>306</v>
      </c>
    </row>
    <row r="29" customFormat="false" ht="19.5" hidden="false" customHeight="true" outlineLevel="0" collapsed="false">
      <c r="A29" s="43" t="s">
        <v>81</v>
      </c>
      <c r="B29" s="44" t="n">
        <f aca="false">B26*$E$12</f>
        <v>230.3</v>
      </c>
      <c r="C29" s="44" t="n">
        <f aca="false">C26*$E$12</f>
        <v>406.7</v>
      </c>
      <c r="D29" s="44" t="n">
        <f aca="false">D26*$E$12</f>
        <v>548.8</v>
      </c>
      <c r="E29" s="44" t="n">
        <f aca="false">E26*$E$12</f>
        <v>656.6</v>
      </c>
      <c r="F29" s="44" t="n">
        <f aca="false">F26*$E$12</f>
        <v>739.9</v>
      </c>
      <c r="G29" s="44" t="n">
        <f aca="false">G26*$E$12</f>
        <v>808.5</v>
      </c>
      <c r="H29" s="44" t="n">
        <f aca="false">H26*$E$12</f>
        <v>857.5</v>
      </c>
      <c r="I29" s="44" t="n">
        <f aca="false">I26*$E$12</f>
        <v>901.6</v>
      </c>
      <c r="J29" s="44" t="n">
        <f aca="false">J26*$E$12</f>
        <v>931</v>
      </c>
      <c r="K29" s="44" t="n">
        <f aca="false">K26*$E$12</f>
        <v>955.5</v>
      </c>
      <c r="L29" s="44" t="n">
        <f aca="false">L26*$E$12</f>
        <v>975.1</v>
      </c>
      <c r="M29" s="44" t="n">
        <f aca="false">M26*$E$12</f>
        <v>989.8</v>
      </c>
      <c r="N29" s="45" t="n">
        <f aca="false">SUM(B29:M29)</f>
        <v>9001.3</v>
      </c>
    </row>
    <row r="30" customFormat="false" ht="19.5" hidden="false" customHeight="true" outlineLevel="0" collapsed="false">
      <c r="A30" s="43" t="s">
        <v>82</v>
      </c>
      <c r="B30" s="44" t="n">
        <f aca="false">B27*$E$13</f>
        <v>198</v>
      </c>
      <c r="C30" s="44" t="n">
        <f aca="false">C27*$E$13</f>
        <v>346.5</v>
      </c>
      <c r="D30" s="44" t="n">
        <f aca="false">D27*$E$13</f>
        <v>465.3</v>
      </c>
      <c r="E30" s="44" t="n">
        <f aca="false">E27*$E$13</f>
        <v>554.4</v>
      </c>
      <c r="F30" s="44" t="n">
        <f aca="false">F27*$E$13</f>
        <v>623.7</v>
      </c>
      <c r="G30" s="44" t="n">
        <f aca="false">G27*$E$13</f>
        <v>683.1</v>
      </c>
      <c r="H30" s="44" t="n">
        <f aca="false">H27*$E$13</f>
        <v>722.7</v>
      </c>
      <c r="I30" s="44" t="n">
        <f aca="false">I27*$E$13</f>
        <v>752.4</v>
      </c>
      <c r="J30" s="44" t="n">
        <f aca="false">J27*$E$13</f>
        <v>782.1</v>
      </c>
      <c r="K30" s="44" t="n">
        <f aca="false">K27*$E$13</f>
        <v>801.9</v>
      </c>
      <c r="L30" s="44" t="n">
        <f aca="false">L27*$E$13</f>
        <v>821.7</v>
      </c>
      <c r="M30" s="44" t="n">
        <f aca="false">M27*$E$13</f>
        <v>831.6</v>
      </c>
      <c r="N30" s="45" t="n">
        <f aca="false">SUM(B30:M30)</f>
        <v>7583.4</v>
      </c>
    </row>
    <row r="31" customFormat="false" ht="19.5" hidden="false" customHeight="true" outlineLevel="0" collapsed="false">
      <c r="A31" s="43" t="s">
        <v>83</v>
      </c>
      <c r="B31" s="44" t="n">
        <f aca="false">B28*$E$14</f>
        <v>159.2</v>
      </c>
      <c r="C31" s="44" t="n">
        <f aca="false">C28*$E$14</f>
        <v>278.6</v>
      </c>
      <c r="D31" s="44" t="n">
        <f aca="false">D28*$E$14</f>
        <v>378.1</v>
      </c>
      <c r="E31" s="44" t="n">
        <f aca="false">E28*$E$14</f>
        <v>437.8</v>
      </c>
      <c r="F31" s="44" t="n">
        <f aca="false">F28*$E$14</f>
        <v>497.5</v>
      </c>
      <c r="G31" s="44" t="n">
        <f aca="false">G28*$E$14</f>
        <v>537.3</v>
      </c>
      <c r="H31" s="44" t="n">
        <f aca="false">H28*$E$14</f>
        <v>577.1</v>
      </c>
      <c r="I31" s="44" t="n">
        <f aca="false">I28*$E$14</f>
        <v>616.9</v>
      </c>
      <c r="J31" s="44" t="n">
        <f aca="false">J28*$E$14</f>
        <v>636.8</v>
      </c>
      <c r="K31" s="44" t="n">
        <f aca="false">K28*$E$14</f>
        <v>636.8</v>
      </c>
      <c r="L31" s="44" t="n">
        <f aca="false">L28*$E$14</f>
        <v>656.7</v>
      </c>
      <c r="M31" s="44" t="n">
        <f aca="false">M28*$E$14</f>
        <v>676.6</v>
      </c>
      <c r="N31" s="45" t="n">
        <f aca="false">SUM(B31:M31)</f>
        <v>6089.4</v>
      </c>
    </row>
    <row r="32" customFormat="false" ht="19.5" hidden="false" customHeight="true" outlineLevel="0" collapsed="false">
      <c r="A32" s="5" t="s">
        <v>84</v>
      </c>
      <c r="B32" s="28" t="n">
        <f aca="false">B29+B30+B31</f>
        <v>587.5</v>
      </c>
      <c r="C32" s="28" t="n">
        <f aca="false">C29+C30+C31</f>
        <v>1031.8</v>
      </c>
      <c r="D32" s="28" t="n">
        <f aca="false">D29+D30+D31</f>
        <v>1392.2</v>
      </c>
      <c r="E32" s="28" t="n">
        <f aca="false">E29+E30+E31</f>
        <v>1648.8</v>
      </c>
      <c r="F32" s="28" t="n">
        <f aca="false">F29+F30+F31</f>
        <v>1861.1</v>
      </c>
      <c r="G32" s="28" t="n">
        <f aca="false">G29+G30+G31</f>
        <v>2028.9</v>
      </c>
      <c r="H32" s="28" t="n">
        <f aca="false">H29+H30+H31</f>
        <v>2157.3</v>
      </c>
      <c r="I32" s="28" t="n">
        <f aca="false">I29+I30+I31</f>
        <v>2270.9</v>
      </c>
      <c r="J32" s="28" t="n">
        <f aca="false">J29+J30+J31</f>
        <v>2349.9</v>
      </c>
      <c r="K32" s="28" t="n">
        <f aca="false">K29+K30+K31</f>
        <v>2394.2</v>
      </c>
      <c r="L32" s="28" t="n">
        <f aca="false">L29+L30+L31</f>
        <v>2453.5</v>
      </c>
      <c r="M32" s="28" t="n">
        <f aca="false">M29+M30+M31</f>
        <v>2498</v>
      </c>
      <c r="N32" s="45" t="n">
        <f aca="false">SUM(B32:M32)</f>
        <v>22674.1</v>
      </c>
    </row>
    <row r="33" customFormat="false" ht="21.75" hidden="false" customHeight="true" outlineLevel="0" collapsed="false">
      <c r="A33" s="46" t="s">
        <v>85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customFormat="false" ht="19.5" hidden="false" customHeight="true" outlineLevel="0" collapsed="false">
      <c r="A34" s="38" t="s">
        <v>86</v>
      </c>
      <c r="B34" s="44" t="n">
        <f aca="false">B32*(1-$E$15)</f>
        <v>529.3375</v>
      </c>
      <c r="C34" s="44" t="n">
        <f aca="false">C32*(1-$E$15)</f>
        <v>929.6518</v>
      </c>
      <c r="D34" s="44" t="n">
        <f aca="false">D32*(1-$E$15)</f>
        <v>1254.3722</v>
      </c>
      <c r="E34" s="44" t="n">
        <f aca="false">E32*(1-$E$15)</f>
        <v>1485.5688</v>
      </c>
      <c r="F34" s="44" t="n">
        <f aca="false">F32*(1-$E$15)</f>
        <v>1676.8511</v>
      </c>
      <c r="G34" s="44" t="n">
        <f aca="false">G32*(1-$E$15)</f>
        <v>1828.0389</v>
      </c>
      <c r="H34" s="44" t="n">
        <f aca="false">H32*(1-$E$15)</f>
        <v>1943.7273</v>
      </c>
      <c r="I34" s="44" t="n">
        <f aca="false">I32*(1-$E$15)</f>
        <v>2046.0809</v>
      </c>
      <c r="J34" s="44" t="n">
        <f aca="false">J32*(1-$E$15)</f>
        <v>2117.2599</v>
      </c>
      <c r="K34" s="44" t="n">
        <f aca="false">K32*(1-$E$15)</f>
        <v>2157.1742</v>
      </c>
      <c r="L34" s="44" t="n">
        <f aca="false">L32*(1-$E$15)</f>
        <v>2210.6035</v>
      </c>
      <c r="M34" s="44" t="n">
        <f aca="false">M32*(1-$E$15)</f>
        <v>2250.698</v>
      </c>
      <c r="N34" s="45" t="n">
        <f aca="false">SUM(B34:M34)</f>
        <v>20429.3641</v>
      </c>
    </row>
    <row r="35" customFormat="false" ht="19.5" hidden="false" customHeight="true" outlineLevel="0" collapsed="false">
      <c r="A35" s="47" t="s">
        <v>87</v>
      </c>
      <c r="B35" s="48" t="n">
        <f aca="false">$E$5</f>
        <v>300</v>
      </c>
      <c r="C35" s="48" t="n">
        <f aca="false">$E$5</f>
        <v>300</v>
      </c>
      <c r="D35" s="48" t="n">
        <f aca="false">$E$5</f>
        <v>300</v>
      </c>
      <c r="E35" s="48" t="n">
        <f aca="false">$E$5</f>
        <v>300</v>
      </c>
      <c r="F35" s="48" t="n">
        <f aca="false">$E$5</f>
        <v>300</v>
      </c>
      <c r="G35" s="48" t="n">
        <f aca="false">$E$5</f>
        <v>300</v>
      </c>
      <c r="H35" s="48" t="n">
        <f aca="false">$E$5</f>
        <v>300</v>
      </c>
      <c r="I35" s="48" t="n">
        <f aca="false">$E$5</f>
        <v>300</v>
      </c>
      <c r="J35" s="48" t="n">
        <f aca="false">$E$5</f>
        <v>300</v>
      </c>
      <c r="K35" s="48" t="n">
        <f aca="false">$E$5</f>
        <v>300</v>
      </c>
      <c r="L35" s="48" t="n">
        <f aca="false">$E$5</f>
        <v>300</v>
      </c>
      <c r="M35" s="48" t="n">
        <f aca="false">$E$5</f>
        <v>300</v>
      </c>
      <c r="N35" s="45" t="n">
        <f aca="false">SUM(B35:M35)</f>
        <v>3600</v>
      </c>
    </row>
    <row r="36" customFormat="false" ht="19.5" hidden="false" customHeight="true" outlineLevel="0" collapsed="false">
      <c r="A36" s="47" t="s">
        <v>88</v>
      </c>
      <c r="B36" s="48" t="n">
        <f aca="false">$E$16</f>
        <v>50</v>
      </c>
      <c r="C36" s="48" t="n">
        <f aca="false">$E$16</f>
        <v>50</v>
      </c>
      <c r="D36" s="48" t="n">
        <f aca="false">$E$16</f>
        <v>50</v>
      </c>
      <c r="E36" s="48" t="n">
        <f aca="false">$E$16</f>
        <v>50</v>
      </c>
      <c r="F36" s="48" t="n">
        <f aca="false">$E$16</f>
        <v>50</v>
      </c>
      <c r="G36" s="48" t="n">
        <f aca="false">$E$16</f>
        <v>50</v>
      </c>
      <c r="H36" s="48" t="n">
        <f aca="false">$E$16</f>
        <v>50</v>
      </c>
      <c r="I36" s="48" t="n">
        <f aca="false">$E$16</f>
        <v>50</v>
      </c>
      <c r="J36" s="48" t="n">
        <f aca="false">$E$16</f>
        <v>50</v>
      </c>
      <c r="K36" s="48" t="n">
        <f aca="false">$E$16</f>
        <v>50</v>
      </c>
      <c r="L36" s="48" t="n">
        <f aca="false">$E$16</f>
        <v>50</v>
      </c>
      <c r="M36" s="48" t="n">
        <f aca="false">$E$16</f>
        <v>50</v>
      </c>
      <c r="N36" s="45" t="n">
        <f aca="false">SUM(B36:M36)</f>
        <v>600</v>
      </c>
    </row>
    <row r="37" customFormat="false" ht="19.5" hidden="false" customHeight="true" outlineLevel="0" collapsed="false">
      <c r="A37" s="5" t="s">
        <v>89</v>
      </c>
      <c r="B37" s="28" t="n">
        <f aca="false">B34-B35-B36</f>
        <v>179.3375</v>
      </c>
      <c r="C37" s="28" t="n">
        <f aca="false">C34-C35-C36</f>
        <v>579.6518</v>
      </c>
      <c r="D37" s="28" t="n">
        <f aca="false">D34-D35-D36</f>
        <v>904.3722</v>
      </c>
      <c r="E37" s="28" t="n">
        <f aca="false">E34-E35-E36</f>
        <v>1135.5688</v>
      </c>
      <c r="F37" s="28" t="n">
        <f aca="false">F34-F35-F36</f>
        <v>1326.8511</v>
      </c>
      <c r="G37" s="28" t="n">
        <f aca="false">G34-G35-G36</f>
        <v>1478.0389</v>
      </c>
      <c r="H37" s="28" t="n">
        <f aca="false">H34-H35-H36</f>
        <v>1593.7273</v>
      </c>
      <c r="I37" s="28" t="n">
        <f aca="false">I34-I35-I36</f>
        <v>1696.0809</v>
      </c>
      <c r="J37" s="28" t="n">
        <f aca="false">J34-J35-J36</f>
        <v>1767.2599</v>
      </c>
      <c r="K37" s="28" t="n">
        <f aca="false">K34-K35-K36</f>
        <v>1807.1742</v>
      </c>
      <c r="L37" s="28" t="n">
        <f aca="false">L34-L35-L36</f>
        <v>1860.6035</v>
      </c>
      <c r="M37" s="28" t="n">
        <f aca="false">M34-M35-M36</f>
        <v>1900.698</v>
      </c>
      <c r="N37" s="45" t="n">
        <f aca="false">SUM(B37:M37)</f>
        <v>16229.3641</v>
      </c>
    </row>
    <row r="38" customFormat="false" ht="19.5" hidden="false" customHeight="true" outlineLevel="0" collapsed="false">
      <c r="A38" s="5" t="s">
        <v>90</v>
      </c>
      <c r="B38" s="49" t="n">
        <f aca="false">IF(B35=0,0,B37/B35)</f>
        <v>0.597791666666667</v>
      </c>
      <c r="C38" s="49" t="n">
        <f aca="false">IF(C35=0,0,C37/C35)</f>
        <v>1.93217266666667</v>
      </c>
      <c r="D38" s="49" t="n">
        <f aca="false">IF(D35=0,0,D37/D35)</f>
        <v>3.014574</v>
      </c>
      <c r="E38" s="49" t="n">
        <f aca="false">IF(E35=0,0,E37/E35)</f>
        <v>3.78522933333333</v>
      </c>
      <c r="F38" s="49" t="n">
        <f aca="false">IF(F35=0,0,F37/F35)</f>
        <v>4.422837</v>
      </c>
      <c r="G38" s="49" t="n">
        <f aca="false">IF(G35=0,0,G37/G35)</f>
        <v>4.92679633333333</v>
      </c>
      <c r="H38" s="49" t="n">
        <f aca="false">IF(H35=0,0,H37/H35)</f>
        <v>5.31242433333333</v>
      </c>
      <c r="I38" s="49" t="n">
        <f aca="false">IF(I35=0,0,I37/I35)</f>
        <v>5.653603</v>
      </c>
      <c r="J38" s="49" t="n">
        <f aca="false">IF(J35=0,0,J37/J35)</f>
        <v>5.89086633333333</v>
      </c>
      <c r="K38" s="49" t="n">
        <f aca="false">IF(K35=0,0,K37/K35)</f>
        <v>6.023914</v>
      </c>
      <c r="L38" s="49" t="n">
        <f aca="false">IF(L35=0,0,L37/L35)</f>
        <v>6.20201166666667</v>
      </c>
      <c r="M38" s="49" t="n">
        <f aca="false">IF(M35=0,0,M37/M35)</f>
        <v>6.33566</v>
      </c>
      <c r="N38" s="50" t="n">
        <f aca="false">SUM(B38:M38)</f>
        <v>54.0978803333333</v>
      </c>
    </row>
    <row r="40" customFormat="false" ht="30" hidden="false" customHeight="true" outlineLevel="0" collapsed="false">
      <c r="A40" s="24" t="s">
        <v>91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</sheetData>
  <mergeCells count="19">
    <mergeCell ref="A1:O1"/>
    <mergeCell ref="A2:O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20:N20"/>
    <mergeCell ref="A25:N25"/>
    <mergeCell ref="A33:N33"/>
    <mergeCell ref="A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  <col collapsed="false" customWidth="true" hidden="false" outlineLevel="0" max="7" min="7" style="0" width="20"/>
  </cols>
  <sheetData>
    <row r="1" customFormat="false" ht="36" hidden="false" customHeight="true" outlineLevel="0" collapsed="false">
      <c r="A1" s="25" t="s">
        <v>92</v>
      </c>
      <c r="B1" s="25"/>
      <c r="C1" s="25"/>
      <c r="D1" s="25"/>
      <c r="E1" s="25"/>
      <c r="F1" s="25"/>
      <c r="G1" s="25"/>
    </row>
    <row r="2" customFormat="false" ht="19.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</row>
    <row r="4" customFormat="false" ht="17.15" hidden="false" customHeight="false" outlineLevel="0" collapsed="false">
      <c r="A4" s="51" t="s">
        <v>94</v>
      </c>
      <c r="B4" s="52" t="s">
        <v>95</v>
      </c>
      <c r="C4" s="53" t="s">
        <v>96</v>
      </c>
      <c r="D4" s="13" t="s">
        <v>97</v>
      </c>
      <c r="E4" s="4" t="s">
        <v>98</v>
      </c>
      <c r="F4" s="4"/>
      <c r="G4" s="4"/>
    </row>
    <row r="5" customFormat="false" ht="19.5" hidden="false" customHeight="true" outlineLevel="0" collapsed="false">
      <c r="A5" s="54" t="s">
        <v>99</v>
      </c>
      <c r="B5" s="54"/>
      <c r="C5" s="54"/>
      <c r="D5" s="54"/>
      <c r="E5" s="54"/>
      <c r="F5" s="54"/>
      <c r="G5" s="54"/>
    </row>
    <row r="6" customFormat="false" ht="19.5" hidden="false" customHeight="true" outlineLevel="0" collapsed="false">
      <c r="A6" s="55" t="s">
        <v>4</v>
      </c>
      <c r="B6" s="6" t="n">
        <v>200</v>
      </c>
      <c r="C6" s="6" t="n">
        <v>300</v>
      </c>
      <c r="D6" s="6" t="n">
        <v>500</v>
      </c>
      <c r="E6" s="7" t="s">
        <v>100</v>
      </c>
      <c r="F6" s="7"/>
      <c r="G6" s="7"/>
    </row>
    <row r="7" customFormat="false" ht="19.5" hidden="false" customHeight="true" outlineLevel="0" collapsed="false">
      <c r="A7" s="56" t="s">
        <v>50</v>
      </c>
      <c r="B7" s="8" t="n">
        <v>0.35</v>
      </c>
      <c r="C7" s="8" t="n">
        <v>0.25</v>
      </c>
      <c r="D7" s="8" t="n">
        <v>0.18</v>
      </c>
      <c r="E7" s="7" t="s">
        <v>101</v>
      </c>
      <c r="F7" s="7"/>
      <c r="G7" s="7"/>
    </row>
    <row r="8" customFormat="false" ht="19.5" hidden="false" customHeight="true" outlineLevel="0" collapsed="false">
      <c r="A8" s="55" t="s">
        <v>8</v>
      </c>
      <c r="B8" s="9" t="n">
        <v>0.55</v>
      </c>
      <c r="C8" s="9" t="n">
        <v>0.65</v>
      </c>
      <c r="D8" s="9" t="n">
        <v>0.75</v>
      </c>
      <c r="E8" s="10" t="s">
        <v>102</v>
      </c>
      <c r="F8" s="10"/>
      <c r="G8" s="10"/>
    </row>
    <row r="9" customFormat="false" ht="19.5" hidden="false" customHeight="true" outlineLevel="0" collapsed="false">
      <c r="A9" s="56" t="s">
        <v>103</v>
      </c>
      <c r="B9" s="9" t="n">
        <v>0.035</v>
      </c>
      <c r="C9" s="9" t="n">
        <v>0.06</v>
      </c>
      <c r="D9" s="9" t="n">
        <v>0.09</v>
      </c>
      <c r="E9" s="7" t="s">
        <v>104</v>
      </c>
      <c r="F9" s="7"/>
      <c r="G9" s="7"/>
    </row>
    <row r="10" customFormat="false" ht="19.5" hidden="false" customHeight="true" outlineLevel="0" collapsed="false">
      <c r="A10" s="55" t="s">
        <v>16</v>
      </c>
      <c r="B10" s="11" t="n">
        <v>0.7</v>
      </c>
      <c r="C10" s="11" t="n">
        <v>1.2</v>
      </c>
      <c r="D10" s="11" t="n">
        <v>1.8</v>
      </c>
      <c r="E10" s="10" t="s">
        <v>105</v>
      </c>
      <c r="F10" s="10"/>
      <c r="G10" s="10"/>
    </row>
    <row r="11" customFormat="false" ht="19.5" hidden="false" customHeight="true" outlineLevel="0" collapsed="false">
      <c r="A11" s="56" t="s">
        <v>106</v>
      </c>
      <c r="B11" s="8" t="n">
        <v>4.9</v>
      </c>
      <c r="C11" s="8" t="n">
        <v>4.9</v>
      </c>
      <c r="D11" s="8" t="n">
        <v>6.9</v>
      </c>
      <c r="E11" s="7" t="s">
        <v>107</v>
      </c>
      <c r="F11" s="7"/>
      <c r="G11" s="7"/>
    </row>
    <row r="12" customFormat="false" ht="19.5" hidden="false" customHeight="true" outlineLevel="0" collapsed="false">
      <c r="A12" s="57" t="s">
        <v>108</v>
      </c>
      <c r="B12" s="57"/>
      <c r="C12" s="57"/>
      <c r="D12" s="57"/>
      <c r="E12" s="57"/>
      <c r="F12" s="57"/>
      <c r="G12" s="57"/>
    </row>
    <row r="13" customFormat="false" ht="19.5" hidden="false" customHeight="true" outlineLevel="0" collapsed="false">
      <c r="A13" s="42" t="s">
        <v>109</v>
      </c>
      <c r="B13" s="36" t="n">
        <f aca="false">(B6/B7)*12</f>
        <v>6857.14285714286</v>
      </c>
      <c r="C13" s="36" t="n">
        <f aca="false">(C6/C7)*12</f>
        <v>14400</v>
      </c>
      <c r="D13" s="36" t="n">
        <f aca="false">(D6/D7)*12</f>
        <v>33333.3333333333</v>
      </c>
      <c r="E13" s="58"/>
      <c r="F13" s="58"/>
      <c r="G13" s="58"/>
    </row>
    <row r="14" customFormat="false" ht="19.5" hidden="false" customHeight="true" outlineLevel="0" collapsed="false">
      <c r="A14" s="42" t="s">
        <v>110</v>
      </c>
      <c r="B14" s="36" t="n">
        <f aca="false">IF(B10=1,(B6/B7)*B8*11,(B6/B7)*B8*B10*(B10^11-1)/(B10-1))</f>
        <v>718.832937218</v>
      </c>
      <c r="C14" s="36" t="n">
        <f aca="false">IF(C10=1,(C6/C7)*C8*11,(C6/C7)*C8*C10*(C10^11-1)/(C10-1))</f>
        <v>30092.7917481984</v>
      </c>
      <c r="D14" s="36" t="n">
        <f aca="false">IF(D10=1,(D6/D7)*D8*11,(D6/D7)*D8*D10*(D10^11-1)/(D10-1))</f>
        <v>3007894.222464</v>
      </c>
      <c r="E14" s="58"/>
      <c r="F14" s="58"/>
      <c r="G14" s="58"/>
    </row>
    <row r="15" customFormat="false" ht="19.5" hidden="false" customHeight="true" outlineLevel="0" collapsed="false">
      <c r="A15" s="42" t="s">
        <v>111</v>
      </c>
      <c r="B15" s="36" t="n">
        <f aca="false">((B6/B7)*12+IF(B10=1,(B6/B7)*B8*11,(B6/B7)*B8*B10*(B10^11-1)/(B10-1)))*B8</f>
        <v>4166.78668689847</v>
      </c>
      <c r="C15" s="36" t="n">
        <f aca="false">((C6/C7)*12+IF(C10=1,(C6/C7)*C8*11,(C6/C7)*C8*C10*(C10^11-1)/(C10-1)))*C8</f>
        <v>28920.314636329</v>
      </c>
      <c r="D15" s="36" t="n">
        <f aca="false">((D6/D7)*12+IF(D10=1,(D6/D7)*D8*11,(D6/D7)*D8*D10*(D10^11-1)/(D10-1)))*D8</f>
        <v>2280920.666848</v>
      </c>
      <c r="E15" s="58"/>
      <c r="F15" s="58"/>
      <c r="G15" s="58"/>
    </row>
    <row r="16" customFormat="false" ht="19.5" hidden="false" customHeight="true" outlineLevel="0" collapsed="false">
      <c r="A16" s="42" t="s">
        <v>112</v>
      </c>
      <c r="B16" s="36" t="n">
        <f aca="false">ROUND(((B6/B7)*12+IF(B10=1,(B6/B7)*B8*11,(B6/B7)*B8*B10*(B10^11-1)/(B10-1)))*B8*B9,0)</f>
        <v>146</v>
      </c>
      <c r="C16" s="36" t="n">
        <f aca="false">ROUND(((C6/C7)*12+IF(C10=1,(C6/C7)*C8*11,(C6/C7)*C8*C10*(C10^11-1)/(C10-1)))*C8*C9,0)</f>
        <v>1735</v>
      </c>
      <c r="D16" s="36" t="n">
        <f aca="false">ROUND(((D6/D7)*12+IF(D10=1,(D6/D7)*D8*11,(D6/D7)*D8*D10*(D10^11-1)/(D10-1)))*D8*D9,0)</f>
        <v>205283</v>
      </c>
      <c r="E16" s="58"/>
      <c r="F16" s="58"/>
      <c r="G16" s="58"/>
    </row>
    <row r="17" customFormat="false" ht="19.5" hidden="false" customHeight="true" outlineLevel="0" collapsed="false">
      <c r="A17" s="43" t="s">
        <v>113</v>
      </c>
      <c r="B17" s="44" t="n">
        <f aca="false">B16*B11</f>
        <v>715.4</v>
      </c>
      <c r="C17" s="44" t="n">
        <f aca="false">C16*C11</f>
        <v>8501.5</v>
      </c>
      <c r="D17" s="44" t="n">
        <f aca="false">D16*D11</f>
        <v>1416452.7</v>
      </c>
      <c r="E17" s="58"/>
      <c r="F17" s="58"/>
      <c r="G17" s="58"/>
    </row>
    <row r="18" customFormat="false" ht="19.5" hidden="false" customHeight="true" outlineLevel="0" collapsed="false">
      <c r="A18" s="43" t="s">
        <v>114</v>
      </c>
      <c r="B18" s="44" t="n">
        <f aca="false">B17*(1-0.099)</f>
        <v>644.5754</v>
      </c>
      <c r="C18" s="44" t="n">
        <f aca="false">C17*(1-0.099)</f>
        <v>7659.8515</v>
      </c>
      <c r="D18" s="44" t="n">
        <f aca="false">D17*(1-0.099)</f>
        <v>1276223.8827</v>
      </c>
      <c r="E18" s="58"/>
      <c r="F18" s="58"/>
      <c r="G18" s="58"/>
    </row>
    <row r="19" customFormat="false" ht="19.5" hidden="false" customHeight="true" outlineLevel="0" collapsed="false">
      <c r="A19" s="42" t="s">
        <v>115</v>
      </c>
      <c r="B19" s="28" t="n">
        <f aca="false">(B6+50)*12</f>
        <v>3000</v>
      </c>
      <c r="C19" s="28" t="n">
        <f aca="false">(C6+50)*12</f>
        <v>4200</v>
      </c>
      <c r="D19" s="28" t="n">
        <f aca="false">(D6+50)*12</f>
        <v>6600</v>
      </c>
      <c r="E19" s="58"/>
      <c r="F19" s="58"/>
      <c r="G19" s="58"/>
    </row>
    <row r="20" customFormat="false" ht="19.5" hidden="false" customHeight="true" outlineLevel="0" collapsed="false">
      <c r="A20" s="43" t="s">
        <v>116</v>
      </c>
      <c r="B20" s="44" t="n">
        <f aca="false">B18-B19</f>
        <v>-2355.4246</v>
      </c>
      <c r="C20" s="44" t="n">
        <f aca="false">C18-C19</f>
        <v>3459.8515</v>
      </c>
      <c r="D20" s="44" t="n">
        <f aca="false">D18-D19</f>
        <v>1269623.8827</v>
      </c>
      <c r="E20" s="58"/>
      <c r="F20" s="58"/>
      <c r="G20" s="58"/>
    </row>
    <row r="21" customFormat="false" ht="19.5" hidden="false" customHeight="true" outlineLevel="0" collapsed="false">
      <c r="A21" s="38" t="s">
        <v>117</v>
      </c>
      <c r="B21" s="44" t="n">
        <f aca="false">B20/12</f>
        <v>-196.285383333333</v>
      </c>
      <c r="C21" s="44" t="n">
        <f aca="false">C20/12</f>
        <v>288.320958333333</v>
      </c>
      <c r="D21" s="44" t="n">
        <f aca="false">D20/12</f>
        <v>105801.990225</v>
      </c>
      <c r="E21" s="58"/>
      <c r="F21" s="58"/>
      <c r="G21" s="58"/>
    </row>
    <row r="22" customFormat="false" ht="19.5" hidden="false" customHeight="true" outlineLevel="0" collapsed="false">
      <c r="A22" s="5" t="s">
        <v>118</v>
      </c>
      <c r="B22" s="59" t="n">
        <f aca="false">IF((B6/B7)*B8*B9*B11*(1-0.099)&gt;=(B6+50),1,3)</f>
        <v>3</v>
      </c>
      <c r="C22" s="59" t="n">
        <f aca="false">IF((C6/C7)*C8*C9*C11*(1-0.099)&gt;=(C6+50),1,3)</f>
        <v>3</v>
      </c>
      <c r="D22" s="59" t="n">
        <f aca="false">IF((D6/D7)*D8*D9*D11*(1-0.099)&gt;=(D6+50),1,3)</f>
        <v>1</v>
      </c>
      <c r="E22" s="58"/>
      <c r="F22" s="58"/>
      <c r="G22" s="58"/>
    </row>
    <row r="24" customFormat="false" ht="45" hidden="false" customHeight="true" outlineLevel="0" collapsed="false">
      <c r="A24" s="24" t="s">
        <v>119</v>
      </c>
      <c r="B24" s="24"/>
      <c r="C24" s="24"/>
      <c r="D24" s="24"/>
      <c r="E24" s="24"/>
      <c r="F24" s="24"/>
      <c r="G24" s="24"/>
    </row>
  </sheetData>
  <mergeCells count="22">
    <mergeCell ref="A1:G1"/>
    <mergeCell ref="A2:G2"/>
    <mergeCell ref="E4:G4"/>
    <mergeCell ref="A5:G5"/>
    <mergeCell ref="E6:G6"/>
    <mergeCell ref="E7:G7"/>
    <mergeCell ref="E8:G8"/>
    <mergeCell ref="E9:G9"/>
    <mergeCell ref="E10:G10"/>
    <mergeCell ref="E11:G11"/>
    <mergeCell ref="A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  <col collapsed="false" customWidth="true" hidden="false" outlineLevel="0" max="7" min="7" style="0" width="16"/>
  </cols>
  <sheetData>
    <row r="1" customFormat="false" ht="36" hidden="false" customHeight="true" outlineLevel="0" collapsed="false">
      <c r="A1" s="25" t="s">
        <v>120</v>
      </c>
      <c r="B1" s="25"/>
      <c r="C1" s="25"/>
      <c r="D1" s="25"/>
      <c r="E1" s="25"/>
      <c r="F1" s="25"/>
      <c r="G1" s="25"/>
    </row>
    <row r="3" customFormat="false" ht="15" hidden="false" customHeight="false" outlineLevel="0" collapsed="false">
      <c r="A3" s="53" t="s">
        <v>121</v>
      </c>
      <c r="B3" s="53"/>
      <c r="C3" s="53" t="s">
        <v>48</v>
      </c>
      <c r="D3" s="4" t="s">
        <v>122</v>
      </c>
      <c r="E3" s="4"/>
      <c r="F3" s="4"/>
      <c r="G3" s="4"/>
    </row>
    <row r="4" customFormat="false" ht="19.5" hidden="false" customHeight="true" outlineLevel="0" collapsed="false">
      <c r="A4" s="27" t="s">
        <v>123</v>
      </c>
      <c r="B4" s="27"/>
      <c r="C4" s="6" t="n">
        <v>350</v>
      </c>
      <c r="D4" s="7" t="s">
        <v>124</v>
      </c>
      <c r="E4" s="7"/>
      <c r="F4" s="7"/>
      <c r="G4" s="7"/>
    </row>
    <row r="5" customFormat="false" ht="19.5" hidden="false" customHeight="true" outlineLevel="0" collapsed="false">
      <c r="A5" s="29" t="s">
        <v>106</v>
      </c>
      <c r="B5" s="29"/>
      <c r="C5" s="8" t="n">
        <v>4.9</v>
      </c>
      <c r="D5" s="7" t="s">
        <v>125</v>
      </c>
      <c r="E5" s="7"/>
      <c r="F5" s="7"/>
      <c r="G5" s="7"/>
    </row>
    <row r="6" customFormat="false" ht="19.5" hidden="false" customHeight="true" outlineLevel="0" collapsed="false">
      <c r="A6" s="27" t="s">
        <v>126</v>
      </c>
      <c r="B6" s="27"/>
      <c r="C6" s="9" t="n">
        <v>0.099</v>
      </c>
      <c r="D6" s="7" t="s">
        <v>127</v>
      </c>
      <c r="E6" s="7"/>
      <c r="F6" s="7"/>
      <c r="G6" s="7"/>
    </row>
    <row r="7" customFormat="false" ht="19.5" hidden="false" customHeight="true" outlineLevel="0" collapsed="false">
      <c r="A7" s="27" t="s">
        <v>8</v>
      </c>
      <c r="B7" s="27"/>
      <c r="C7" s="9" t="n">
        <v>0.65</v>
      </c>
      <c r="D7" s="7" t="s">
        <v>128</v>
      </c>
      <c r="E7" s="7"/>
      <c r="F7" s="7"/>
      <c r="G7" s="7"/>
    </row>
    <row r="8" customFormat="false" ht="19.5" hidden="false" customHeight="true" outlineLevel="0" collapsed="false">
      <c r="A8" s="29" t="s">
        <v>103</v>
      </c>
      <c r="B8" s="29"/>
      <c r="C8" s="9" t="n">
        <v>0.06</v>
      </c>
      <c r="D8" s="7" t="s">
        <v>129</v>
      </c>
      <c r="E8" s="7"/>
      <c r="F8" s="7"/>
      <c r="G8" s="7"/>
    </row>
    <row r="9" customFormat="false" ht="19.5" hidden="false" customHeight="true" outlineLevel="0" collapsed="false">
      <c r="A9" s="29" t="s">
        <v>50</v>
      </c>
      <c r="B9" s="29"/>
      <c r="C9" s="8" t="n">
        <v>0.25</v>
      </c>
      <c r="D9" s="7" t="s">
        <v>130</v>
      </c>
      <c r="E9" s="7"/>
      <c r="F9" s="7"/>
      <c r="G9" s="7"/>
    </row>
    <row r="11" customFormat="false" ht="15" hidden="false" customHeight="false" outlineLevel="0" collapsed="false">
      <c r="A11" s="13" t="s">
        <v>131</v>
      </c>
      <c r="B11" s="13"/>
      <c r="C11" s="13"/>
      <c r="D11" s="4" t="s">
        <v>132</v>
      </c>
      <c r="E11" s="4"/>
      <c r="F11" s="4"/>
      <c r="G11" s="4"/>
    </row>
    <row r="12" customFormat="false" ht="21.75" hidden="false" customHeight="true" outlineLevel="0" collapsed="false">
      <c r="A12" s="60" t="s">
        <v>133</v>
      </c>
      <c r="B12" s="60"/>
      <c r="C12" s="61" t="n">
        <f aca="false">C5*(1-C6)</f>
        <v>4.4149</v>
      </c>
      <c r="D12" s="62" t="s">
        <v>134</v>
      </c>
      <c r="E12" s="62"/>
      <c r="F12" s="62"/>
      <c r="G12" s="62"/>
    </row>
    <row r="13" customFormat="false" ht="21.75" hidden="false" customHeight="true" outlineLevel="0" collapsed="false">
      <c r="A13" s="63" t="s">
        <v>135</v>
      </c>
      <c r="B13" s="63"/>
      <c r="C13" s="64" t="n">
        <f aca="false">CEILING(C4/(C5*(1-C6)),1)</f>
        <v>80</v>
      </c>
      <c r="D13" s="62" t="s">
        <v>136</v>
      </c>
      <c r="E13" s="62"/>
      <c r="F13" s="62"/>
      <c r="G13" s="62"/>
    </row>
    <row r="14" customFormat="false" ht="21.75" hidden="false" customHeight="true" outlineLevel="0" collapsed="false">
      <c r="A14" s="63" t="s">
        <v>137</v>
      </c>
      <c r="B14" s="63"/>
      <c r="C14" s="65" t="n">
        <f aca="false">CEILING((C4/(C5*(1-C6)))/C8,1)</f>
        <v>1322</v>
      </c>
      <c r="D14" s="62" t="s">
        <v>138</v>
      </c>
      <c r="E14" s="62"/>
      <c r="F14" s="62"/>
      <c r="G14" s="62"/>
    </row>
    <row r="15" customFormat="false" ht="21.75" hidden="false" customHeight="true" outlineLevel="0" collapsed="false">
      <c r="A15" s="63" t="s">
        <v>139</v>
      </c>
      <c r="B15" s="63"/>
      <c r="C15" s="65" t="n">
        <f aca="false">CEILING(((C4/(C5*(1-C6)))/C8)/C7,1)</f>
        <v>2033</v>
      </c>
      <c r="D15" s="62" t="s">
        <v>140</v>
      </c>
      <c r="E15" s="62"/>
      <c r="F15" s="62"/>
      <c r="G15" s="62"/>
    </row>
    <row r="16" customFormat="false" ht="21.75" hidden="false" customHeight="true" outlineLevel="0" collapsed="false">
      <c r="A16" s="63" t="s">
        <v>141</v>
      </c>
      <c r="B16" s="63"/>
      <c r="C16" s="28" t="n">
        <f aca="false">CEILING(((C4/(C5*(1-C6)))/C8)/C7*C9,1)</f>
        <v>509</v>
      </c>
      <c r="D16" s="62" t="s">
        <v>142</v>
      </c>
      <c r="E16" s="62"/>
      <c r="F16" s="62"/>
      <c r="G16" s="62"/>
    </row>
    <row r="17" customFormat="false" ht="21.75" hidden="false" customHeight="true" outlineLevel="0" collapsed="false">
      <c r="A17" s="63" t="s">
        <v>143</v>
      </c>
      <c r="B17" s="63"/>
      <c r="C17" s="64" t="n">
        <f aca="false">(C4/C9)*C7*C8</f>
        <v>54.6</v>
      </c>
      <c r="D17" s="62" t="s">
        <v>144</v>
      </c>
      <c r="E17" s="62"/>
      <c r="F17" s="62"/>
      <c r="G17" s="62"/>
    </row>
    <row r="18" customFormat="false" ht="21.75" hidden="false" customHeight="true" outlineLevel="0" collapsed="false">
      <c r="A18" s="66" t="s">
        <v>145</v>
      </c>
      <c r="B18" s="66"/>
      <c r="C18" s="44" t="n">
        <f aca="false">(C4/C9)*C7*C8*C5*(1-C6)-C4</f>
        <v>-108.94646</v>
      </c>
      <c r="D18" s="62" t="s">
        <v>146</v>
      </c>
      <c r="E18" s="62"/>
      <c r="F18" s="62"/>
      <c r="G18" s="62"/>
    </row>
    <row r="20" customFormat="false" ht="49.5" hidden="false" customHeight="true" outlineLevel="0" collapsed="false">
      <c r="A20" s="67" t="s">
        <v>147</v>
      </c>
      <c r="B20" s="67"/>
      <c r="C20" s="67"/>
      <c r="D20" s="67"/>
      <c r="E20" s="67"/>
      <c r="F20" s="67"/>
      <c r="G20" s="67"/>
    </row>
  </sheetData>
  <mergeCells count="32">
    <mergeCell ref="A1:G1"/>
    <mergeCell ref="A3:B3"/>
    <mergeCell ref="D3:G3"/>
    <mergeCell ref="A4:B4"/>
    <mergeCell ref="D4:G4"/>
    <mergeCell ref="A5:B5"/>
    <mergeCell ref="D5:G5"/>
    <mergeCell ref="A6:B6"/>
    <mergeCell ref="D6:G6"/>
    <mergeCell ref="A7:B7"/>
    <mergeCell ref="D7:G7"/>
    <mergeCell ref="A8:B8"/>
    <mergeCell ref="D8:G8"/>
    <mergeCell ref="A9:B9"/>
    <mergeCell ref="D9:G9"/>
    <mergeCell ref="A11:C11"/>
    <mergeCell ref="D11:G11"/>
    <mergeCell ref="A12:B12"/>
    <mergeCell ref="D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7:B17"/>
    <mergeCell ref="D17:G17"/>
    <mergeCell ref="A18:B18"/>
    <mergeCell ref="D18:G18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2026-02-22T10:55:36Z</dcterms:created>
  <dc:creator>openpyxl</dc:creator>
  <dc:description/>
  <dc:language>en-US</dc:language>
  <cp:lastModifiedBy/>
  <dcterms:modified xsi:type="dcterms:W3CDTF">2026-02-22T10:55:36Z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