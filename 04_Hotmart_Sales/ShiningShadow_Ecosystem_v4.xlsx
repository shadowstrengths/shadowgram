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⑤ 통합 대시보드" sheetId="1" state="visible" r:id="rId3"/>
    <sheet name="④ TEAM" sheetId="2" state="visible" r:id="rId4"/>
    <sheet name="③ loveTWO" sheetId="3" state="visible" r:id="rId5"/>
    <sheet name="② SOLO" sheetId="4" state="visible" r:id="rId6"/>
    <sheet name="① 가정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<sst xmlns="http://schemas.openxmlformats.org/spreadsheetml/2006/main" count="281" uniqueCount="211">
  <si>
    <r>
      <rPr>
        <b val="true"/>
        <sz val="14"/>
        <color rgb="FFFFFFFF"/>
        <rFont val="Arial"/>
        <family val="0"/>
        <charset val="1"/>
      </rPr>
      <t xml:space="preserve">ShiningShadow </t>
    </r>
    <r>
      <rPr>
        <b val="true"/>
        <sz val="14"/>
        <color rgb="FFFFFFFF"/>
        <rFont val="Noto Sans CJK KR"/>
        <family val="2"/>
      </rPr>
      <t xml:space="preserve">브랜드 생태계 — 통합 수익 대시보드  </t>
    </r>
    <r>
      <rPr>
        <b val="true"/>
        <sz val="14"/>
        <color rgb="FFFFFFFF"/>
        <rFont val="Arial"/>
        <family val="0"/>
        <charset val="1"/>
      </rPr>
      <t xml:space="preserve">v3</t>
    </r>
  </si>
  <si>
    <r>
      <rPr>
        <i val="true"/>
        <sz val="9"/>
        <color rgb="FF1A2030"/>
        <rFont val="Arial"/>
        <family val="0"/>
        <charset val="1"/>
      </rPr>
      <t xml:space="preserve">SOLO(2026 </t>
    </r>
    <r>
      <rPr>
        <i val="true"/>
        <sz val="9"/>
        <color rgb="FF1A2030"/>
        <rFont val="Noto Sans CJK KR"/>
        <family val="2"/>
      </rPr>
      <t xml:space="preserve">집중</t>
    </r>
    <r>
      <rPr>
        <i val="true"/>
        <sz val="9"/>
        <color rgb="FF1A2030"/>
        <rFont val="Arial"/>
        <family val="0"/>
        <charset val="1"/>
      </rPr>
      <t xml:space="preserve">) → loveTWO(2027 </t>
    </r>
    <r>
      <rPr>
        <i val="true"/>
        <sz val="9"/>
        <color rgb="FF1A2030"/>
        <rFont val="Noto Sans CJK KR"/>
        <family val="2"/>
      </rPr>
      <t xml:space="preserve">런칭</t>
    </r>
    <r>
      <rPr>
        <i val="true"/>
        <sz val="9"/>
        <color rgb="FF1A2030"/>
        <rFont val="Arial"/>
        <family val="0"/>
        <charset val="1"/>
      </rPr>
      <t xml:space="preserve">) → TEAM(2028 </t>
    </r>
    <r>
      <rPr>
        <i val="true"/>
        <sz val="9"/>
        <color rgb="FF1A2030"/>
        <rFont val="Noto Sans CJK KR"/>
        <family val="2"/>
      </rPr>
      <t xml:space="preserve">런칭</t>
    </r>
    <r>
      <rPr>
        <i val="true"/>
        <sz val="9"/>
        <color rgb="FF1A2030"/>
        <rFont val="Arial"/>
        <family val="0"/>
        <charset val="1"/>
      </rPr>
      <t xml:space="preserve">)  |  3</t>
    </r>
    <r>
      <rPr>
        <i val="true"/>
        <sz val="9"/>
        <color rgb="FF1A2030"/>
        <rFont val="Noto Sans CJK KR"/>
        <family val="2"/>
      </rPr>
      <t xml:space="preserve">브랜드 순차 가동 시나리오</t>
    </r>
  </si>
  <si>
    <r>
      <rPr>
        <b val="true"/>
        <sz val="10"/>
        <color rgb="FFFFFFFF"/>
        <rFont val="Arial"/>
        <family val="0"/>
        <charset val="1"/>
      </rPr>
      <t xml:space="preserve">🌑 Shadowgram (</t>
    </r>
    <r>
      <rPr>
        <b val="true"/>
        <sz val="10"/>
        <color rgb="FFFFFFFF"/>
        <rFont val="Noto Sans CJK KR"/>
        <family val="2"/>
      </rPr>
      <t xml:space="preserve">검사도구 — 공통 진단 엔진</t>
    </r>
    <r>
      <rPr>
        <b val="true"/>
        <sz val="10"/>
        <color rgb="FFFFFFFF"/>
        <rFont val="Arial"/>
        <family val="0"/>
        <charset val="1"/>
      </rPr>
      <t xml:space="preserve">)  →  ① SOLO (1</t>
    </r>
    <r>
      <rPr>
        <b val="true"/>
        <sz val="10"/>
        <color rgb="FFFFFFFF"/>
        <rFont val="Noto Sans CJK KR"/>
        <family val="2"/>
      </rPr>
      <t xml:space="preserve">인</t>
    </r>
    <r>
      <rPr>
        <b val="true"/>
        <sz val="10"/>
        <color rgb="FFFFFFFF"/>
        <rFont val="Arial"/>
        <family val="0"/>
        <charset val="1"/>
      </rPr>
      <t xml:space="preserve">)  ②  loveTWO (2</t>
    </r>
    <r>
      <rPr>
        <b val="true"/>
        <sz val="10"/>
        <color rgb="FFFFFFFF"/>
        <rFont val="Noto Sans CJK KR"/>
        <family val="2"/>
      </rPr>
      <t xml:space="preserve">인</t>
    </r>
    <r>
      <rPr>
        <b val="true"/>
        <sz val="10"/>
        <color rgb="FFFFFFFF"/>
        <rFont val="Arial"/>
        <family val="0"/>
        <charset val="1"/>
      </rPr>
      <t xml:space="preserve">)  ③  TEAM (</t>
    </r>
    <r>
      <rPr>
        <b val="true"/>
        <sz val="10"/>
        <color rgb="FFFFFFFF"/>
        <rFont val="Noto Sans CJK KR"/>
        <family val="2"/>
      </rPr>
      <t xml:space="preserve">조직</t>
    </r>
    <r>
      <rPr>
        <b val="true"/>
        <sz val="10"/>
        <color rgb="FFFFFFFF"/>
        <rFont val="Arial"/>
        <family val="0"/>
        <charset val="1"/>
      </rPr>
      <t xml:space="preserve">)  →  leftnoon (</t>
    </r>
    <r>
      <rPr>
        <b val="true"/>
        <sz val="10"/>
        <color rgb="FFFFFFFF"/>
        <rFont val="Noto Sans CJK KR"/>
        <family val="2"/>
      </rPr>
      <t xml:space="preserve">커뮤니티 구독</t>
    </r>
    <r>
      <rPr>
        <b val="true"/>
        <sz val="10"/>
        <color rgb="FFFFFFFF"/>
        <rFont val="Arial"/>
        <family val="0"/>
        <charset val="1"/>
      </rPr>
      <t xml:space="preserve">, Phase4+)</t>
    </r>
  </si>
  <si>
    <r>
      <rPr>
        <b val="true"/>
        <sz val="11"/>
        <color rgb="FFFFFFFF"/>
        <rFont val="Noto Sans CJK KR"/>
        <family val="2"/>
      </rPr>
      <t xml:space="preserve">브랜드 </t>
    </r>
    <r>
      <rPr>
        <b val="true"/>
        <sz val="11"/>
        <color rgb="FFFFFFFF"/>
        <rFont val="Arial"/>
        <family val="0"/>
        <charset val="1"/>
      </rPr>
      <t xml:space="preserve">/ </t>
    </r>
    <r>
      <rPr>
        <b val="true"/>
        <sz val="11"/>
        <color rgb="FFFFFFFF"/>
        <rFont val="Noto Sans CJK KR"/>
        <family val="2"/>
      </rPr>
      <t xml:space="preserve">수익원</t>
    </r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</si>
  <si>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</si>
  <si>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</si>
  <si>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</si>
  <si>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</si>
  <si>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</si>
  <si>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r>
      <rPr>
        <b val="true"/>
        <sz val="11"/>
        <color rgb="FFFFFFFF"/>
        <rFont val="Arial"/>
        <family val="0"/>
        <charset val="1"/>
      </rPr>
      <t xml:space="preserve">5</t>
    </r>
    <r>
      <rPr>
        <b val="true"/>
        <sz val="11"/>
        <color rgb="FFFFFFFF"/>
        <rFont val="Noto Sans CJK KR"/>
        <family val="2"/>
      </rPr>
      <t xml:space="preserve">년 누적</t>
    </r>
  </si>
  <si>
    <t xml:space="preserve">비중</t>
  </si>
  <si>
    <r>
      <rPr>
        <b val="true"/>
        <sz val="10"/>
        <color rgb="FF1E3F6E"/>
        <rFont val="Arial"/>
        <family val="0"/>
        <charset val="1"/>
      </rPr>
      <t xml:space="preserve">① SOLO  (1</t>
    </r>
    <r>
      <rPr>
        <b val="true"/>
        <sz val="10"/>
        <color rgb="FF1E3F6E"/>
        <rFont val="Noto Sans CJK KR"/>
        <family val="2"/>
      </rPr>
      <t xml:space="preserve">인</t>
    </r>
    <r>
      <rPr>
        <b val="true"/>
        <sz val="10"/>
        <color rgb="FF1E3F6E"/>
        <rFont val="Arial"/>
        <family val="0"/>
        <charset val="1"/>
      </rPr>
      <t xml:space="preserve">·Hotmart </t>
    </r>
    <r>
      <rPr>
        <b val="true"/>
        <sz val="10"/>
        <color rgb="FF1E3F6E"/>
        <rFont val="Noto Sans CJK KR"/>
        <family val="2"/>
      </rPr>
      <t xml:space="preserve">파트너</t>
    </r>
    <r>
      <rPr>
        <b val="true"/>
        <sz val="10"/>
        <color rgb="FF1E3F6E"/>
        <rFont val="Arial"/>
        <family val="0"/>
        <charset val="1"/>
      </rPr>
      <t xml:space="preserve">)</t>
    </r>
  </si>
  <si>
    <r>
      <rPr>
        <b val="true"/>
        <sz val="10"/>
        <color rgb="FF7B3200"/>
        <rFont val="Arial"/>
        <family val="0"/>
        <charset val="1"/>
      </rPr>
      <t xml:space="preserve">② loveTWO  (2</t>
    </r>
    <r>
      <rPr>
        <b val="true"/>
        <sz val="10"/>
        <color rgb="FF7B3200"/>
        <rFont val="Noto Sans CJK KR"/>
        <family val="2"/>
      </rPr>
      <t xml:space="preserve">인</t>
    </r>
    <r>
      <rPr>
        <b val="true"/>
        <sz val="10"/>
        <color rgb="FF7B3200"/>
        <rFont val="Arial"/>
        <family val="0"/>
        <charset val="1"/>
      </rPr>
      <t xml:space="preserve">·</t>
    </r>
    <r>
      <rPr>
        <b val="true"/>
        <sz val="10"/>
        <color rgb="FF7B3200"/>
        <rFont val="Noto Sans CJK KR"/>
        <family val="2"/>
      </rPr>
      <t xml:space="preserve">이메일</t>
    </r>
    <r>
      <rPr>
        <b val="true"/>
        <sz val="10"/>
        <color rgb="FF7B3200"/>
        <rFont val="Arial"/>
        <family val="0"/>
        <charset val="1"/>
      </rPr>
      <t xml:space="preserve">+</t>
    </r>
    <r>
      <rPr>
        <b val="true"/>
        <sz val="10"/>
        <color rgb="FF7B3200"/>
        <rFont val="Noto Sans CJK KR"/>
        <family val="2"/>
      </rPr>
      <t xml:space="preserve">파트너</t>
    </r>
    <r>
      <rPr>
        <b val="true"/>
        <sz val="10"/>
        <color rgb="FF7B3200"/>
        <rFont val="Arial"/>
        <family val="0"/>
        <charset val="1"/>
      </rPr>
      <t xml:space="preserve">)</t>
    </r>
  </si>
  <si>
    <r>
      <rPr>
        <b val="true"/>
        <sz val="10"/>
        <color rgb="FF145214"/>
        <rFont val="Arial"/>
        <family val="0"/>
        <charset val="1"/>
      </rPr>
      <t xml:space="preserve">③ TEAM  (</t>
    </r>
    <r>
      <rPr>
        <b val="true"/>
        <sz val="10"/>
        <color rgb="FF145214"/>
        <rFont val="Noto Sans CJK KR"/>
        <family val="2"/>
      </rPr>
      <t xml:space="preserve">조직</t>
    </r>
    <r>
      <rPr>
        <b val="true"/>
        <sz val="10"/>
        <color rgb="FF145214"/>
        <rFont val="Arial"/>
        <family val="0"/>
        <charset val="1"/>
      </rPr>
      <t xml:space="preserve">·</t>
    </r>
    <r>
      <rPr>
        <b val="true"/>
        <sz val="10"/>
        <color rgb="FF145214"/>
        <rFont val="Noto Sans CJK KR"/>
        <family val="2"/>
      </rPr>
      <t xml:space="preserve">코칭 플랫폼 제휴</t>
    </r>
    <r>
      <rPr>
        <b val="true"/>
        <sz val="10"/>
        <color rgb="FF145214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</si>
  <si>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KR"/>
        <family val="2"/>
      </rPr>
      <t xml:space="preserve">★ 생태계 연간 총 수익 </t>
    </r>
    <r>
      <rPr>
        <b val="true"/>
        <sz val="10"/>
        <color rgb="FFFFFFFF"/>
        <rFont val="Arial"/>
        <family val="0"/>
        <charset val="1"/>
      </rPr>
      <t xml:space="preserve">(₩)</t>
    </r>
  </si>
  <si>
    <r>
      <rPr>
        <b val="true"/>
        <sz val="10"/>
        <color rgb="FF000000"/>
        <rFont val="Noto Sans CJK KR"/>
        <family val="2"/>
      </rPr>
      <t xml:space="preserve">월 평균 수익 </t>
    </r>
    <r>
      <rPr>
        <b val="true"/>
        <sz val="10"/>
        <color rgb="FF000000"/>
        <rFont val="Arial"/>
        <family val="0"/>
        <charset val="1"/>
      </rPr>
      <t xml:space="preserve">(₩)</t>
    </r>
  </si>
  <si>
    <r>
      <rPr>
        <i val="true"/>
        <sz val="9"/>
        <color rgb="FF666666"/>
        <rFont val="Noto Sans CJK KR"/>
        <family val="2"/>
      </rPr>
      <t xml:space="preserve">자동화 기준</t>
    </r>
    <r>
      <rPr>
        <i val="true"/>
        <sz val="9"/>
        <color rgb="FF666666"/>
        <rFont val="Arial"/>
        <family val="0"/>
        <charset val="1"/>
      </rPr>
      <t xml:space="preserve">, </t>
    </r>
    <r>
      <rPr>
        <i val="true"/>
        <sz val="9"/>
        <color rgb="FF666666"/>
        <rFont val="Noto Sans CJK KR"/>
        <family val="2"/>
      </rPr>
      <t xml:space="preserve">민철 개입 ≈ </t>
    </r>
    <r>
      <rPr>
        <i val="true"/>
        <sz val="9"/>
        <color rgb="FF666666"/>
        <rFont val="Arial"/>
        <family val="0"/>
        <charset val="1"/>
      </rPr>
      <t xml:space="preserve">0</t>
    </r>
  </si>
  <si>
    <r>
      <rPr>
        <b val="true"/>
        <sz val="10"/>
        <color rgb="FFFFFFFF"/>
        <rFont val="Noto Sans CJK KR"/>
        <family val="2"/>
      </rPr>
      <t xml:space="preserve">핵심 </t>
    </r>
    <r>
      <rPr>
        <b val="true"/>
        <sz val="10"/>
        <color rgb="FFFFFFFF"/>
        <rFont val="Arial"/>
        <family val="0"/>
        <charset val="1"/>
      </rPr>
      <t xml:space="preserve">KPI </t>
    </r>
    <r>
      <rPr>
        <b val="true"/>
        <sz val="10"/>
        <color rgb="FFFFFFFF"/>
        <rFont val="Noto Sans CJK KR"/>
        <family val="2"/>
      </rPr>
      <t xml:space="preserve">지표</t>
    </r>
  </si>
  <si>
    <t xml:space="preserve">지표</t>
  </si>
  <si>
    <t xml:space="preserve">비고</t>
  </si>
  <si>
    <r>
      <rPr>
        <sz val="10"/>
        <color rgb="FF000000"/>
        <rFont val="Arial"/>
        <family val="0"/>
        <charset val="1"/>
      </rPr>
      <t xml:space="preserve">SOLO </t>
    </r>
    <r>
      <rPr>
        <sz val="10"/>
        <color rgb="FF000000"/>
        <rFont val="Noto Sans CJK KR"/>
        <family val="2"/>
      </rPr>
      <t xml:space="preserve">파트너 수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KR"/>
        <family val="2"/>
      </rPr>
      <t xml:space="preserve">명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</si>
  <si>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SOLO T1 </t>
    </r>
    <r>
      <rPr>
        <sz val="10"/>
        <color rgb="FF000000"/>
        <rFont val="Noto Sans CJK KR"/>
        <family val="2"/>
      </rPr>
      <t xml:space="preserve">연간 판매량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KR"/>
        <family val="2"/>
      </rPr>
      <t xml:space="preserve">개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</si>
  <si>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loveTWO </t>
    </r>
    <r>
      <rPr>
        <sz val="10"/>
        <color rgb="FF000000"/>
        <rFont val="Noto Sans CJK KR"/>
        <family val="2"/>
      </rPr>
      <t xml:space="preserve">이메일 </t>
    </r>
    <r>
      <rPr>
        <sz val="10"/>
        <color rgb="FF000000"/>
        <rFont val="Arial"/>
        <family val="0"/>
        <charset val="1"/>
      </rPr>
      <t xml:space="preserve">DB (</t>
    </r>
    <r>
      <rPr>
        <sz val="10"/>
        <color rgb="FF000000"/>
        <rFont val="Noto Sans CJK KR"/>
        <family val="2"/>
      </rPr>
      <t xml:space="preserve">명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</si>
  <si>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loveTWO </t>
    </r>
    <r>
      <rPr>
        <sz val="10"/>
        <color rgb="FF000000"/>
        <rFont val="Noto Sans CJK KR"/>
        <family val="2"/>
      </rPr>
      <t xml:space="preserve">총 구매자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KR"/>
        <family val="2"/>
      </rPr>
      <t xml:space="preserve">명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KR"/>
        <family val="2"/>
      </rPr>
      <t xml:space="preserve">년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</si>
  <si>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loveTWO </t>
    </r>
    <r>
      <rPr>
        <sz val="10"/>
        <color rgb="FF000000"/>
        <rFont val="Noto Sans CJK KR"/>
        <family val="2"/>
      </rPr>
      <t xml:space="preserve">겸업 파트너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KR"/>
        <family val="2"/>
      </rPr>
      <t xml:space="preserve">명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</si>
  <si>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KR"/>
        <family val="2"/>
      </rPr>
      <t xml:space="preserve">코칭 플랫폼 파트너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KR"/>
        <family val="2"/>
      </rPr>
      <t xml:space="preserve">곳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</si>
  <si>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TEAM </t>
    </r>
    <r>
      <rPr>
        <sz val="10"/>
        <color rgb="FF000000"/>
        <rFont val="Noto Sans CJK KR"/>
        <family val="2"/>
      </rPr>
      <t xml:space="preserve">총 계약 건수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KR"/>
        <family val="2"/>
      </rPr>
      <t xml:space="preserve">건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KR"/>
        <family val="2"/>
      </rPr>
      <t xml:space="preserve">년</t>
    </r>
    <r>
      <rPr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</si>
  <si>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KR"/>
        <family val="2"/>
      </rPr>
      <t xml:space="preserve">브랜드별 런칭 타임라인 </t>
    </r>
    <r>
      <rPr>
        <b val="true"/>
        <sz val="10"/>
        <color rgb="FFFFFFFF"/>
        <rFont val="Arial"/>
        <family val="0"/>
        <charset val="1"/>
      </rPr>
      <t xml:space="preserve">&amp; </t>
    </r>
    <r>
      <rPr>
        <b val="true"/>
        <sz val="10"/>
        <color rgb="FFFFFFFF"/>
        <rFont val="Noto Sans CJK KR"/>
        <family val="2"/>
      </rPr>
      <t xml:space="preserve">전략</t>
    </r>
  </si>
  <si>
    <t xml:space="preserve">연도</t>
  </si>
  <si>
    <t xml:space="preserve">SOLO</t>
  </si>
  <si>
    <t xml:space="preserve">loveTWO</t>
  </si>
  <si>
    <t xml:space="preserve">TEAM</t>
  </si>
  <si>
    <t xml:space="preserve">핵심 전략</t>
  </si>
  <si>
    <r>
      <rPr>
        <sz val="9"/>
        <color rgb="FF000000"/>
        <rFont val="Arial"/>
        <family val="0"/>
        <charset val="1"/>
      </rPr>
      <t xml:space="preserve">★ ES+PT+EN </t>
    </r>
    <r>
      <rPr>
        <sz val="9"/>
        <color rgb="FF000000"/>
        <rFont val="Noto Sans CJK KR"/>
        <family val="2"/>
      </rPr>
      <t xml:space="preserve">동시
</t>
    </r>
    <r>
      <rPr>
        <sz val="9"/>
        <color rgb="FF000000"/>
        <rFont val="Arial"/>
        <family val="0"/>
        <charset val="1"/>
      </rPr>
      <t xml:space="preserve">Hotmart 60</t>
    </r>
    <r>
      <rPr>
        <sz val="9"/>
        <color rgb="FF000000"/>
        <rFont val="Noto Sans CJK KR"/>
        <family val="2"/>
      </rPr>
      <t xml:space="preserve">명 집중</t>
    </r>
  </si>
  <si>
    <r>
      <rPr>
        <sz val="9"/>
        <color rgb="FF000000"/>
        <rFont val="Noto Sans CJK KR"/>
        <family val="2"/>
      </rPr>
      <t xml:space="preserve">준비</t>
    </r>
    <r>
      <rPr>
        <sz val="9"/>
        <color rgb="FF000000"/>
        <rFont val="Arial"/>
        <family val="0"/>
        <charset val="1"/>
      </rPr>
      <t xml:space="preserve">: SOLO DB
</t>
    </r>
    <r>
      <rPr>
        <sz val="9"/>
        <color rgb="FF000000"/>
        <rFont val="Noto Sans CJK KR"/>
        <family val="2"/>
      </rPr>
      <t xml:space="preserve">이메일 </t>
    </r>
    <r>
      <rPr>
        <sz val="9"/>
        <color rgb="FF000000"/>
        <rFont val="Arial"/>
        <family val="0"/>
        <charset val="1"/>
      </rPr>
      <t xml:space="preserve">8</t>
    </r>
    <r>
      <rPr>
        <sz val="9"/>
        <color rgb="FF000000"/>
        <rFont val="Noto Sans CJK KR"/>
        <family val="2"/>
      </rPr>
      <t xml:space="preserve">천명 축적</t>
    </r>
  </si>
  <si>
    <r>
      <rPr>
        <sz val="9"/>
        <color rgb="FF000000"/>
        <rFont val="Noto Sans CJK KR"/>
        <family val="2"/>
      </rPr>
      <t xml:space="preserve">준비①</t>
    </r>
    <r>
      <rPr>
        <sz val="9"/>
        <color rgb="FF000000"/>
        <rFont val="Arial"/>
        <family val="0"/>
        <charset val="1"/>
      </rPr>
      <t xml:space="preserve">: </t>
    </r>
    <r>
      <rPr>
        <sz val="9"/>
        <color rgb="FF000000"/>
        <rFont val="Noto Sans CJK KR"/>
        <family val="2"/>
      </rPr>
      <t xml:space="preserve">논문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KR"/>
        <family val="2"/>
      </rPr>
      <t xml:space="preserve">이론
파일럿 </t>
    </r>
    <r>
      <rPr>
        <sz val="9"/>
        <color rgb="FF000000"/>
        <rFont val="Arial"/>
        <family val="0"/>
        <charset val="1"/>
      </rPr>
      <t xml:space="preserve">3</t>
    </r>
    <r>
      <rPr>
        <sz val="9"/>
        <color rgb="FF000000"/>
        <rFont val="Noto Sans CJK KR"/>
        <family val="2"/>
      </rPr>
      <t xml:space="preserve">건</t>
    </r>
  </si>
  <si>
    <r>
      <rPr>
        <b val="true"/>
        <sz val="10"/>
        <color rgb="FF1E3F6E"/>
        <rFont val="Arial"/>
        <family val="0"/>
        <charset val="1"/>
      </rPr>
      <t xml:space="preserve">SOLO </t>
    </r>
    <r>
      <rPr>
        <b val="true"/>
        <sz val="10"/>
        <color rgb="FF1E3F6E"/>
        <rFont val="Noto Sans CJK KR"/>
        <family val="2"/>
      </rPr>
      <t xml:space="preserve">파트너 네트워크 구축 </t>
    </r>
    <r>
      <rPr>
        <b val="true"/>
        <sz val="10"/>
        <color rgb="FF1E3F6E"/>
        <rFont val="Arial"/>
        <family val="0"/>
        <charset val="1"/>
      </rPr>
      <t xml:space="preserve">+ </t>
    </r>
    <r>
      <rPr>
        <b val="true"/>
        <sz val="10"/>
        <color rgb="FF1E3F6E"/>
        <rFont val="Noto Sans CJK KR"/>
        <family val="2"/>
      </rPr>
      <t xml:space="preserve">퍼널 최적화</t>
    </r>
  </si>
  <si>
    <r>
      <rPr>
        <sz val="9"/>
        <color rgb="FF000000"/>
        <rFont val="Noto Sans CJK KR"/>
        <family val="2"/>
      </rPr>
      <t xml:space="preserve">성장</t>
    </r>
    <r>
      <rPr>
        <sz val="9"/>
        <color rgb="FF000000"/>
        <rFont val="Arial"/>
        <family val="0"/>
        <charset val="1"/>
      </rPr>
      <t xml:space="preserve">: </t>
    </r>
    <r>
      <rPr>
        <sz val="9"/>
        <color rgb="FF000000"/>
        <rFont val="Noto Sans CJK KR"/>
        <family val="2"/>
      </rPr>
      <t xml:space="preserve">파트너 복리
전환율 최적화</t>
    </r>
  </si>
  <si>
    <r>
      <rPr>
        <sz val="9"/>
        <color rgb="FF000000"/>
        <rFont val="Noto Sans CJK KR"/>
        <family val="2"/>
      </rPr>
      <t xml:space="preserve">★ 런칭</t>
    </r>
    <r>
      <rPr>
        <sz val="9"/>
        <color rgb="FF000000"/>
        <rFont val="Arial"/>
        <family val="0"/>
        <charset val="1"/>
      </rPr>
      <t xml:space="preserve">: </t>
    </r>
    <r>
      <rPr>
        <sz val="9"/>
        <color rgb="FF000000"/>
        <rFont val="Noto Sans CJK KR"/>
        <family val="2"/>
      </rPr>
      <t xml:space="preserve">이메일</t>
    </r>
    <r>
      <rPr>
        <sz val="9"/>
        <color rgb="FF000000"/>
        <rFont val="Arial"/>
        <family val="0"/>
        <charset val="1"/>
      </rPr>
      <t xml:space="preserve">+</t>
    </r>
    <r>
      <rPr>
        <sz val="9"/>
        <color rgb="FF000000"/>
        <rFont val="Noto Sans CJK KR"/>
        <family val="2"/>
      </rPr>
      <t xml:space="preserve">파트너
앱 바이럴 가동</t>
    </r>
  </si>
  <si>
    <r>
      <rPr>
        <sz val="9"/>
        <color rgb="FF000000"/>
        <rFont val="Noto Sans CJK KR"/>
        <family val="2"/>
      </rPr>
      <t xml:space="preserve">준비②</t>
    </r>
    <r>
      <rPr>
        <sz val="9"/>
        <color rgb="FF000000"/>
        <rFont val="Arial"/>
        <family val="0"/>
        <charset val="1"/>
      </rPr>
      <t xml:space="preserve">: </t>
    </r>
    <r>
      <rPr>
        <sz val="9"/>
        <color rgb="FF000000"/>
        <rFont val="Noto Sans CJK KR"/>
        <family val="2"/>
      </rPr>
      <t xml:space="preserve">백서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KR"/>
        <family val="2"/>
      </rPr>
      <t xml:space="preserve">케이스
파일럿 </t>
    </r>
    <r>
      <rPr>
        <sz val="9"/>
        <color rgb="FF000000"/>
        <rFont val="Arial"/>
        <family val="0"/>
        <charset val="1"/>
      </rPr>
      <t xml:space="preserve">8</t>
    </r>
    <r>
      <rPr>
        <sz val="9"/>
        <color rgb="FF000000"/>
        <rFont val="Noto Sans CJK KR"/>
        <family val="2"/>
      </rPr>
      <t xml:space="preserve">건</t>
    </r>
  </si>
  <si>
    <r>
      <rPr>
        <b val="true"/>
        <sz val="10"/>
        <color rgb="FF1E3F6E"/>
        <rFont val="Arial"/>
        <family val="0"/>
        <charset val="1"/>
      </rPr>
      <t xml:space="preserve">loveTWO </t>
    </r>
    <r>
      <rPr>
        <b val="true"/>
        <sz val="10"/>
        <color rgb="FF1E3F6E"/>
        <rFont val="Noto Sans CJK KR"/>
        <family val="2"/>
      </rPr>
      <t xml:space="preserve">이중채널 런칭 </t>
    </r>
    <r>
      <rPr>
        <b val="true"/>
        <sz val="10"/>
        <color rgb="FF1E3F6E"/>
        <rFont val="Arial"/>
        <family val="0"/>
        <charset val="1"/>
      </rPr>
      <t xml:space="preserve">+ SOLO </t>
    </r>
    <r>
      <rPr>
        <b val="true"/>
        <sz val="10"/>
        <color rgb="FF1E3F6E"/>
        <rFont val="Noto Sans CJK KR"/>
        <family val="2"/>
      </rPr>
      <t xml:space="preserve">파트너 겸업 확대</t>
    </r>
  </si>
  <si>
    <r>
      <rPr>
        <sz val="9"/>
        <color rgb="FF000000"/>
        <rFont val="Noto Sans CJK KR"/>
        <family val="2"/>
      </rPr>
      <t xml:space="preserve">안정</t>
    </r>
    <r>
      <rPr>
        <sz val="9"/>
        <color rgb="FF000000"/>
        <rFont val="Arial"/>
        <family val="0"/>
        <charset val="1"/>
      </rPr>
      <t xml:space="preserve">: </t>
    </r>
    <r>
      <rPr>
        <sz val="9"/>
        <color rgb="FF000000"/>
        <rFont val="Noto Sans CJK KR"/>
        <family val="2"/>
      </rPr>
      <t xml:space="preserve">파트너 자동화
부록 번들 강화</t>
    </r>
  </si>
  <si>
    <r>
      <rPr>
        <sz val="9"/>
        <color rgb="FF000000"/>
        <rFont val="Noto Sans CJK KR"/>
        <family val="2"/>
      </rPr>
      <t xml:space="preserve">성장</t>
    </r>
    <r>
      <rPr>
        <sz val="9"/>
        <color rgb="FF000000"/>
        <rFont val="Arial"/>
        <family val="0"/>
        <charset val="1"/>
      </rPr>
      <t xml:space="preserve">: DB 1.4</t>
    </r>
    <r>
      <rPr>
        <sz val="9"/>
        <color rgb="FF000000"/>
        <rFont val="Noto Sans CJK KR"/>
        <family val="2"/>
      </rPr>
      <t xml:space="preserve">만→
파트너 겸업 확대</t>
    </r>
  </si>
  <si>
    <r>
      <rPr>
        <sz val="9"/>
        <color rgb="FF000000"/>
        <rFont val="Noto Sans CJK KR"/>
        <family val="2"/>
      </rPr>
      <t xml:space="preserve">★ 런칭</t>
    </r>
    <r>
      <rPr>
        <sz val="9"/>
        <color rgb="FF000000"/>
        <rFont val="Arial"/>
        <family val="0"/>
        <charset val="1"/>
      </rPr>
      <t xml:space="preserve">: </t>
    </r>
    <r>
      <rPr>
        <sz val="9"/>
        <color rgb="FF000000"/>
        <rFont val="Noto Sans CJK KR"/>
        <family val="2"/>
      </rPr>
      <t xml:space="preserve">코칭 플랫폼
</t>
    </r>
    <r>
      <rPr>
        <sz val="9"/>
        <color rgb="FF000000"/>
        <rFont val="Arial"/>
        <family val="0"/>
        <charset val="1"/>
      </rPr>
      <t xml:space="preserve">15</t>
    </r>
    <r>
      <rPr>
        <sz val="9"/>
        <color rgb="FF000000"/>
        <rFont val="Noto Sans CJK KR"/>
        <family val="2"/>
      </rPr>
      <t xml:space="preserve">곳 제휴 본격화</t>
    </r>
  </si>
  <si>
    <r>
      <rPr>
        <b val="true"/>
        <sz val="10"/>
        <color rgb="FF1E3F6E"/>
        <rFont val="Arial"/>
        <family val="0"/>
        <charset val="1"/>
      </rPr>
      <t xml:space="preserve">TEAM </t>
    </r>
    <r>
      <rPr>
        <b val="true"/>
        <sz val="10"/>
        <color rgb="FF1E3F6E"/>
        <rFont val="Noto Sans CJK KR"/>
        <family val="2"/>
      </rPr>
      <t xml:space="preserve">온라인 코칭 플랫폼 파트너 가동 → </t>
    </r>
    <r>
      <rPr>
        <b val="true"/>
        <sz val="10"/>
        <color rgb="FF1E3F6E"/>
        <rFont val="Arial"/>
        <family val="0"/>
        <charset val="1"/>
      </rPr>
      <t xml:space="preserve">3</t>
    </r>
    <r>
      <rPr>
        <b val="true"/>
        <sz val="10"/>
        <color rgb="FF1E3F6E"/>
        <rFont val="Noto Sans CJK KR"/>
        <family val="2"/>
      </rPr>
      <t xml:space="preserve">브랜드 풀가동</t>
    </r>
  </si>
  <si>
    <t xml:space="preserve">복리 확장
영어권 심화</t>
  </si>
  <si>
    <r>
      <rPr>
        <sz val="9"/>
        <color rgb="FF000000"/>
        <rFont val="Noto Sans CJK KR"/>
        <family val="2"/>
      </rPr>
      <t xml:space="preserve">글로벌 확장
</t>
    </r>
    <r>
      <rPr>
        <sz val="9"/>
        <color rgb="FF000000"/>
        <rFont val="Arial"/>
        <family val="0"/>
        <charset val="1"/>
      </rPr>
      <t xml:space="preserve">DB 2.4</t>
    </r>
    <r>
      <rPr>
        <sz val="9"/>
        <color rgb="FF000000"/>
        <rFont val="Noto Sans CJK KR"/>
        <family val="2"/>
      </rPr>
      <t xml:space="preserve">만</t>
    </r>
    <r>
      <rPr>
        <sz val="9"/>
        <color rgb="FF000000"/>
        <rFont val="Arial"/>
        <family val="0"/>
        <charset val="1"/>
      </rPr>
      <t xml:space="preserve">+</t>
    </r>
  </si>
  <si>
    <r>
      <rPr>
        <sz val="9"/>
        <color rgb="FF000000"/>
        <rFont val="Noto Sans CJK KR"/>
        <family val="2"/>
      </rPr>
      <t xml:space="preserve">스케일</t>
    </r>
    <r>
      <rPr>
        <sz val="9"/>
        <color rgb="FF000000"/>
        <rFont val="Arial"/>
        <family val="0"/>
        <charset val="1"/>
      </rPr>
      <t xml:space="preserve">: </t>
    </r>
    <r>
      <rPr>
        <sz val="9"/>
        <color rgb="FF000000"/>
        <rFont val="Noto Sans CJK KR"/>
        <family val="2"/>
      </rPr>
      <t xml:space="preserve">플랫폼 </t>
    </r>
    <r>
      <rPr>
        <sz val="9"/>
        <color rgb="FF000000"/>
        <rFont val="Arial"/>
        <family val="0"/>
        <charset val="1"/>
      </rPr>
      <t xml:space="preserve">27</t>
    </r>
    <r>
      <rPr>
        <sz val="9"/>
        <color rgb="FF000000"/>
        <rFont val="Noto Sans CJK KR"/>
        <family val="2"/>
      </rPr>
      <t xml:space="preserve">곳
멤버십 구독 안착</t>
    </r>
  </si>
  <si>
    <r>
      <rPr>
        <b val="true"/>
        <sz val="10"/>
        <color rgb="FF1E3F6E"/>
        <rFont val="Arial"/>
        <family val="0"/>
        <charset val="1"/>
      </rPr>
      <t xml:space="preserve">3</t>
    </r>
    <r>
      <rPr>
        <b val="true"/>
        <sz val="10"/>
        <color rgb="FF1E3F6E"/>
        <rFont val="Noto Sans CJK KR"/>
        <family val="2"/>
      </rPr>
      <t xml:space="preserve">브랜드 시너지 → </t>
    </r>
    <r>
      <rPr>
        <b val="true"/>
        <sz val="10"/>
        <color rgb="FF1E3F6E"/>
        <rFont val="Arial"/>
        <family val="0"/>
        <charset val="1"/>
      </rPr>
      <t xml:space="preserve">SOLO </t>
    </r>
    <r>
      <rPr>
        <b val="true"/>
        <sz val="10"/>
        <color rgb="FF1E3F6E"/>
        <rFont val="Noto Sans CJK KR"/>
        <family val="2"/>
      </rPr>
      <t xml:space="preserve">고객이 </t>
    </r>
    <r>
      <rPr>
        <b val="true"/>
        <sz val="10"/>
        <color rgb="FF1E3F6E"/>
        <rFont val="Arial"/>
        <family val="0"/>
        <charset val="1"/>
      </rPr>
      <t xml:space="preserve">loveTWO·TEAM</t>
    </r>
    <r>
      <rPr>
        <b val="true"/>
        <sz val="10"/>
        <color rgb="FF1E3F6E"/>
        <rFont val="Noto Sans CJK KR"/>
        <family val="2"/>
      </rPr>
      <t xml:space="preserve">으로 자연 이동</t>
    </r>
  </si>
  <si>
    <r>
      <rPr>
        <sz val="9"/>
        <color rgb="FF000000"/>
        <rFont val="Noto Sans CJK KR"/>
        <family val="2"/>
      </rPr>
      <t xml:space="preserve">파트너 </t>
    </r>
    <r>
      <rPr>
        <sz val="9"/>
        <color rgb="FF000000"/>
        <rFont val="Arial"/>
        <family val="0"/>
        <charset val="1"/>
      </rPr>
      <t xml:space="preserve">4</t>
    </r>
    <r>
      <rPr>
        <sz val="9"/>
        <color rgb="FF000000"/>
        <rFont val="Noto Sans CJK KR"/>
        <family val="2"/>
      </rPr>
      <t xml:space="preserve">천명</t>
    </r>
    <r>
      <rPr>
        <sz val="9"/>
        <color rgb="FF000000"/>
        <rFont val="Arial"/>
        <family val="0"/>
        <charset val="1"/>
      </rPr>
      <t xml:space="preserve">+
leftnoon </t>
    </r>
    <r>
      <rPr>
        <sz val="9"/>
        <color rgb="FF000000"/>
        <rFont val="Noto Sans CJK KR"/>
        <family val="2"/>
      </rPr>
      <t xml:space="preserve">연계</t>
    </r>
  </si>
  <si>
    <t xml:space="preserve">구매자 연 수만명
커뮤니티 입구</t>
  </si>
  <si>
    <r>
      <rPr>
        <sz val="9"/>
        <color rgb="FF000000"/>
        <rFont val="Noto Sans CJK KR"/>
        <family val="2"/>
      </rPr>
      <t xml:space="preserve">플랫폼 </t>
    </r>
    <r>
      <rPr>
        <sz val="9"/>
        <color rgb="FF000000"/>
        <rFont val="Arial"/>
        <family val="0"/>
        <charset val="1"/>
      </rPr>
      <t xml:space="preserve">49</t>
    </r>
    <r>
      <rPr>
        <sz val="9"/>
        <color rgb="FF000000"/>
        <rFont val="Noto Sans CJK KR"/>
        <family val="2"/>
      </rPr>
      <t xml:space="preserve">곳
프리미엄 레퍼런스</t>
    </r>
  </si>
  <si>
    <r>
      <rPr>
        <b val="true"/>
        <sz val="10"/>
        <color rgb="FF1E3F6E"/>
        <rFont val="Noto Sans CJK KR"/>
        <family val="2"/>
      </rPr>
      <t xml:space="preserve">기업 가치 </t>
    </r>
    <r>
      <rPr>
        <b val="true"/>
        <sz val="10"/>
        <color rgb="FF1E3F6E"/>
        <rFont val="Arial"/>
        <family val="0"/>
        <charset val="1"/>
      </rPr>
      <t xml:space="preserve">$10M+ </t>
    </r>
    <r>
      <rPr>
        <b val="true"/>
        <sz val="10"/>
        <color rgb="FF1E3F6E"/>
        <rFont val="Noto Sans CJK KR"/>
        <family val="2"/>
      </rPr>
      <t xml:space="preserve">목표 </t>
    </r>
    <r>
      <rPr>
        <b val="true"/>
        <sz val="10"/>
        <color rgb="FF1E3F6E"/>
        <rFont val="Arial"/>
        <family val="0"/>
        <charset val="1"/>
      </rPr>
      <t xml:space="preserve">/ leftnoon </t>
    </r>
    <r>
      <rPr>
        <b val="true"/>
        <sz val="10"/>
        <color rgb="FF1E3F6E"/>
        <rFont val="Noto Sans CJK KR"/>
        <family val="2"/>
      </rPr>
      <t xml:space="preserve">커뮤니티 구독 추가</t>
    </r>
  </si>
  <si>
    <r>
      <rPr>
        <i val="true"/>
        <sz val="9"/>
        <color rgb="FF888888"/>
        <rFont val="Noto Sans CJK KR"/>
        <family val="2"/>
      </rPr>
      <t xml:space="preserve">★ 파란 텍스트</t>
    </r>
    <r>
      <rPr>
        <i val="true"/>
        <sz val="9"/>
        <color rgb="FF888888"/>
        <rFont val="Arial"/>
        <family val="0"/>
        <charset val="1"/>
      </rPr>
      <t xml:space="preserve">=</t>
    </r>
    <r>
      <rPr>
        <i val="true"/>
        <sz val="9"/>
        <color rgb="FF888888"/>
        <rFont val="Noto Sans CJK KR"/>
        <family val="2"/>
      </rPr>
      <t xml:space="preserve">입력값 </t>
    </r>
    <r>
      <rPr>
        <i val="true"/>
        <sz val="9"/>
        <color rgb="FF888888"/>
        <rFont val="Arial"/>
        <family val="0"/>
        <charset val="1"/>
      </rPr>
      <t xml:space="preserve">| </t>
    </r>
    <r>
      <rPr>
        <i val="true"/>
        <sz val="9"/>
        <color rgb="FF888888"/>
        <rFont val="Noto Sans CJK KR"/>
        <family val="2"/>
      </rPr>
      <t xml:space="preserve">검은 텍스트</t>
    </r>
    <r>
      <rPr>
        <i val="true"/>
        <sz val="9"/>
        <color rgb="FF888888"/>
        <rFont val="Arial"/>
        <family val="0"/>
        <charset val="1"/>
      </rPr>
      <t xml:space="preserve">=</t>
    </r>
    <r>
      <rPr>
        <i val="true"/>
        <sz val="9"/>
        <color rgb="FF888888"/>
        <rFont val="Noto Sans CJK KR"/>
        <family val="2"/>
      </rPr>
      <t xml:space="preserve">수식 </t>
    </r>
    <r>
      <rPr>
        <i val="true"/>
        <sz val="9"/>
        <color rgb="FF888888"/>
        <rFont val="Arial"/>
        <family val="0"/>
        <charset val="1"/>
      </rPr>
      <t xml:space="preserve">| </t>
    </r>
    <r>
      <rPr>
        <i val="true"/>
        <sz val="9"/>
        <color rgb="FF888888"/>
        <rFont val="Noto Sans CJK KR"/>
        <family val="2"/>
      </rPr>
      <t xml:space="preserve">초록 텍스트</t>
    </r>
    <r>
      <rPr>
        <i val="true"/>
        <sz val="9"/>
        <color rgb="FF888888"/>
        <rFont val="Arial"/>
        <family val="0"/>
        <charset val="1"/>
      </rPr>
      <t xml:space="preserve">=</t>
    </r>
    <r>
      <rPr>
        <i val="true"/>
        <sz val="9"/>
        <color rgb="FF888888"/>
        <rFont val="Noto Sans CJK KR"/>
        <family val="2"/>
      </rPr>
      <t xml:space="preserve">타시트 연동  </t>
    </r>
    <r>
      <rPr>
        <i val="true"/>
        <sz val="9"/>
        <color rgb="FF888888"/>
        <rFont val="Arial"/>
        <family val="0"/>
        <charset val="1"/>
      </rPr>
      <t xml:space="preserve">|  ① </t>
    </r>
    <r>
      <rPr>
        <i val="true"/>
        <sz val="9"/>
        <color rgb="FF888888"/>
        <rFont val="Noto Sans CJK KR"/>
        <family val="2"/>
      </rPr>
      <t xml:space="preserve">가정 시트에서 전체 가정 조정 → 모든 시트 자동 반영</t>
    </r>
  </si>
  <si>
    <r>
      <rPr>
        <b val="true"/>
        <sz val="13"/>
        <color rgb="FFFFFFFF"/>
        <rFont val="Arial"/>
        <family val="0"/>
        <charset val="1"/>
      </rPr>
      <t xml:space="preserve">④ TEAM — </t>
    </r>
    <r>
      <rPr>
        <b val="true"/>
        <sz val="13"/>
        <color rgb="FFFFFFFF"/>
        <rFont val="Noto Sans CJK KR"/>
        <family val="2"/>
      </rPr>
      <t xml:space="preserve">조직 심리 </t>
    </r>
    <r>
      <rPr>
        <b val="true"/>
        <sz val="13"/>
        <color rgb="FFFFFFFF"/>
        <rFont val="Arial"/>
        <family val="0"/>
        <charset val="1"/>
      </rPr>
      <t xml:space="preserve">B2B  |  2026~27 </t>
    </r>
    <r>
      <rPr>
        <b val="true"/>
        <sz val="13"/>
        <color rgb="FFFFFFFF"/>
        <rFont val="Noto Sans CJK KR"/>
        <family val="2"/>
      </rPr>
      <t xml:space="preserve">이론정교화  </t>
    </r>
    <r>
      <rPr>
        <b val="true"/>
        <sz val="13"/>
        <color rgb="FFFFFFFF"/>
        <rFont val="Arial"/>
        <family val="0"/>
        <charset val="1"/>
      </rPr>
      <t xml:space="preserve">|  2028 </t>
    </r>
    <r>
      <rPr>
        <b val="true"/>
        <sz val="13"/>
        <color rgb="FFFFFFFF"/>
        <rFont val="Noto Sans CJK KR"/>
        <family val="2"/>
      </rPr>
      <t xml:space="preserve">온라인 코칭 플랫폼 파트너 본격 런칭</t>
    </r>
  </si>
  <si>
    <r>
      <rPr>
        <i val="true"/>
        <sz val="9"/>
        <color rgb="FF145214"/>
        <rFont val="Noto Sans CJK KR"/>
        <family val="2"/>
      </rPr>
      <t xml:space="preserve">준비 </t>
    </r>
    <r>
      <rPr>
        <i val="true"/>
        <sz val="9"/>
        <color rgb="FF145214"/>
        <rFont val="Arial"/>
        <family val="0"/>
        <charset val="1"/>
      </rPr>
      <t xml:space="preserve">2</t>
    </r>
    <r>
      <rPr>
        <i val="true"/>
        <sz val="9"/>
        <color rgb="FF145214"/>
        <rFont val="Noto Sans CJK KR"/>
        <family val="2"/>
      </rPr>
      <t xml:space="preserve">년</t>
    </r>
    <r>
      <rPr>
        <i val="true"/>
        <sz val="9"/>
        <color rgb="FF145214"/>
        <rFont val="Arial"/>
        <family val="0"/>
        <charset val="1"/>
      </rPr>
      <t xml:space="preserve">(</t>
    </r>
    <r>
      <rPr>
        <i val="true"/>
        <sz val="9"/>
        <color rgb="FF145214"/>
        <rFont val="Noto Sans CJK KR"/>
        <family val="2"/>
      </rPr>
      <t xml:space="preserve">논문</t>
    </r>
    <r>
      <rPr>
        <i val="true"/>
        <sz val="9"/>
        <color rgb="FF145214"/>
        <rFont val="Arial"/>
        <family val="0"/>
        <charset val="1"/>
      </rPr>
      <t xml:space="preserve">·</t>
    </r>
    <r>
      <rPr>
        <i val="true"/>
        <sz val="9"/>
        <color rgb="FF145214"/>
        <rFont val="Noto Sans CJK KR"/>
        <family val="2"/>
      </rPr>
      <t xml:space="preserve">백서</t>
    </r>
    <r>
      <rPr>
        <i val="true"/>
        <sz val="9"/>
        <color rgb="FF145214"/>
        <rFont val="Arial"/>
        <family val="0"/>
        <charset val="1"/>
      </rPr>
      <t xml:space="preserve">·</t>
    </r>
    <r>
      <rPr>
        <i val="true"/>
        <sz val="9"/>
        <color rgb="FF145214"/>
        <rFont val="Noto Sans CJK KR"/>
        <family val="2"/>
      </rPr>
      <t xml:space="preserve">케이스스터디</t>
    </r>
    <r>
      <rPr>
        <i val="true"/>
        <sz val="9"/>
        <color rgb="FF145214"/>
        <rFont val="Arial"/>
        <family val="0"/>
        <charset val="1"/>
      </rPr>
      <t xml:space="preserve">) → 2028 </t>
    </r>
    <r>
      <rPr>
        <i val="true"/>
        <sz val="9"/>
        <color rgb="FF145214"/>
        <rFont val="Noto Sans CJK KR"/>
        <family val="2"/>
      </rPr>
      <t xml:space="preserve">코칭 플랫폼 </t>
    </r>
    <r>
      <rPr>
        <i val="true"/>
        <sz val="9"/>
        <color rgb="FF145214"/>
        <rFont val="Arial"/>
        <family val="0"/>
        <charset val="1"/>
      </rPr>
      <t xml:space="preserve">15</t>
    </r>
    <r>
      <rPr>
        <i val="true"/>
        <sz val="9"/>
        <color rgb="FF145214"/>
        <rFont val="Noto Sans CJK KR"/>
        <family val="2"/>
      </rPr>
      <t xml:space="preserve">곳 제휴 → 진단</t>
    </r>
    <r>
      <rPr>
        <i val="true"/>
        <sz val="9"/>
        <color rgb="FF145214"/>
        <rFont val="Arial"/>
        <family val="0"/>
        <charset val="1"/>
      </rPr>
      <t xml:space="preserve">+</t>
    </r>
    <r>
      <rPr>
        <i val="true"/>
        <sz val="9"/>
        <color rgb="FF145214"/>
        <rFont val="Noto Sans CJK KR"/>
        <family val="2"/>
      </rPr>
      <t xml:space="preserve">코칭 패키지</t>
    </r>
    <r>
      <rPr>
        <i val="true"/>
        <sz val="9"/>
        <color rgb="FF145214"/>
        <rFont val="Arial"/>
        <family val="0"/>
        <charset val="1"/>
      </rPr>
      <t xml:space="preserve">+</t>
    </r>
    <r>
      <rPr>
        <i val="true"/>
        <sz val="9"/>
        <color rgb="FF145214"/>
        <rFont val="Noto Sans CJK KR"/>
        <family val="2"/>
      </rPr>
      <t xml:space="preserve">연간 멤버십</t>
    </r>
  </si>
  <si>
    <t xml:space="preserve">구분</t>
  </si>
  <si>
    <r>
      <rPr>
        <b val="true"/>
        <sz val="10"/>
        <color rgb="FFFFFFFF"/>
        <rFont val="Arial"/>
        <family val="0"/>
        <charset val="1"/>
      </rPr>
      <t xml:space="preserve">5</t>
    </r>
    <r>
      <rPr>
        <b val="true"/>
        <sz val="10"/>
        <color rgb="FFFFFFFF"/>
        <rFont val="Noto Sans CJK KR"/>
        <family val="2"/>
      </rPr>
      <t xml:space="preserve">년합계</t>
    </r>
  </si>
  <si>
    <t xml:space="preserve">단위</t>
  </si>
  <si>
    <t xml:space="preserve">런칭 단계</t>
  </si>
  <si>
    <t xml:space="preserve">이론 정교화①</t>
  </si>
  <si>
    <t xml:space="preserve">이론 정교화②</t>
  </si>
  <si>
    <r>
      <rPr>
        <b val="true"/>
        <sz val="9"/>
        <color rgb="FF145214"/>
        <rFont val="Noto Sans CJK KR"/>
        <family val="2"/>
      </rPr>
      <t xml:space="preserve">★ 본격 런칭</t>
    </r>
    <r>
      <rPr>
        <b val="true"/>
        <sz val="9"/>
        <color rgb="FF145214"/>
        <rFont val="Arial"/>
        <family val="0"/>
        <charset val="1"/>
      </rPr>
      <t xml:space="preserve">!</t>
    </r>
  </si>
  <si>
    <t xml:space="preserve">스케일업①</t>
  </si>
  <si>
    <t xml:space="preserve">스케일업②</t>
  </si>
  <si>
    <r>
      <rPr>
        <b val="true"/>
        <sz val="10"/>
        <color rgb="FFFFFFFF"/>
        <rFont val="Arial"/>
        <family val="0"/>
        <charset val="1"/>
      </rPr>
      <t xml:space="preserve">A. </t>
    </r>
    <r>
      <rPr>
        <b val="true"/>
        <sz val="10"/>
        <color rgb="FFFFFFFF"/>
        <rFont val="Noto Sans CJK KR"/>
        <family val="2"/>
      </rPr>
      <t xml:space="preserve">계약 건수 — 준비기 파일럿 </t>
    </r>
    <r>
      <rPr>
        <b val="true"/>
        <sz val="10"/>
        <color rgb="FFFFFFFF"/>
        <rFont val="Arial"/>
        <family val="0"/>
        <charset val="1"/>
      </rPr>
      <t xml:space="preserve">+ 2028 </t>
    </r>
    <r>
      <rPr>
        <b val="true"/>
        <sz val="10"/>
        <color rgb="FFFFFFFF"/>
        <rFont val="Noto Sans CJK KR"/>
        <family val="2"/>
      </rPr>
      <t xml:space="preserve">코칭 플랫폼 파트너 제휴</t>
    </r>
  </si>
  <si>
    <t xml:space="preserve">코칭 플랫폼 파트너 수</t>
  </si>
  <si>
    <t xml:space="preserve">곳</t>
  </si>
  <si>
    <r>
      <rPr>
        <i val="true"/>
        <sz val="9"/>
        <color rgb="FF666666"/>
        <rFont val="Arial"/>
        <family val="0"/>
        <charset val="1"/>
      </rPr>
      <t xml:space="preserve">2028 15</t>
    </r>
    <r>
      <rPr>
        <i val="true"/>
        <sz val="9"/>
        <color rgb="FF666666"/>
        <rFont val="Noto Sans CJK KR"/>
        <family val="2"/>
      </rPr>
      <t xml:space="preserve">곳 → 연 </t>
    </r>
    <r>
      <rPr>
        <i val="true"/>
        <sz val="9"/>
        <color rgb="FF666666"/>
        <rFont val="Arial"/>
        <family val="0"/>
        <charset val="1"/>
      </rPr>
      <t xml:space="preserve">80% </t>
    </r>
    <r>
      <rPr>
        <i val="true"/>
        <sz val="9"/>
        <color rgb="FF666666"/>
        <rFont val="Noto Sans CJK KR"/>
        <family val="2"/>
      </rPr>
      <t xml:space="preserve">성장</t>
    </r>
  </si>
  <si>
    <t xml:space="preserve">파트너 채널 계약 건수</t>
  </si>
  <si>
    <r>
      <rPr>
        <sz val="10"/>
        <color rgb="FF000000"/>
        <rFont val="Noto Sans CJK KR"/>
        <family val="2"/>
      </rPr>
      <t xml:space="preserve">건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KR"/>
        <family val="2"/>
      </rPr>
      <t xml:space="preserve">년</t>
    </r>
  </si>
  <si>
    <r>
      <rPr>
        <sz val="10"/>
        <color rgb="FF000000"/>
        <rFont val="Noto Sans CJK KR"/>
        <family val="2"/>
      </rPr>
      <t xml:space="preserve">준비기 파일럿 계약 </t>
    </r>
    <r>
      <rPr>
        <sz val="10"/>
        <color rgb="FF000000"/>
        <rFont val="Arial"/>
        <family val="0"/>
        <charset val="1"/>
      </rPr>
      <t xml:space="preserve">(2026~27)</t>
    </r>
  </si>
  <si>
    <r>
      <rPr>
        <i val="true"/>
        <sz val="9"/>
        <color rgb="FF666666"/>
        <rFont val="Noto Sans CJK KR"/>
        <family val="2"/>
      </rPr>
      <t xml:space="preserve">케이스스터디</t>
    </r>
    <r>
      <rPr>
        <i val="true"/>
        <sz val="9"/>
        <color rgb="FF666666"/>
        <rFont val="Arial"/>
        <family val="0"/>
        <charset val="1"/>
      </rPr>
      <t xml:space="preserve">·</t>
    </r>
    <r>
      <rPr>
        <i val="true"/>
        <sz val="9"/>
        <color rgb="FF666666"/>
        <rFont val="Noto Sans CJK KR"/>
        <family val="2"/>
      </rPr>
      <t xml:space="preserve">논문용</t>
    </r>
  </si>
  <si>
    <t xml:space="preserve">총 계약 건수</t>
  </si>
  <si>
    <r>
      <rPr>
        <b val="true"/>
        <sz val="10"/>
        <color rgb="FFFFFFFF"/>
        <rFont val="Arial"/>
        <family val="0"/>
        <charset val="1"/>
      </rPr>
      <t xml:space="preserve">B. TEAM </t>
    </r>
    <r>
      <rPr>
        <b val="true"/>
        <sz val="10"/>
        <color rgb="FFFFFFFF"/>
        <rFont val="Noto Sans CJK KR"/>
        <family val="2"/>
      </rPr>
      <t xml:space="preserve">오너 순수익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KR"/>
        <family val="2"/>
      </rPr>
      <t xml:space="preserve">진단 </t>
    </r>
    <r>
      <rPr>
        <b val="true"/>
        <sz val="10"/>
        <color rgb="FFFFFFFF"/>
        <rFont val="Arial"/>
        <family val="0"/>
        <charset val="1"/>
      </rPr>
      <t xml:space="preserve">+ </t>
    </r>
    <r>
      <rPr>
        <b val="true"/>
        <sz val="10"/>
        <color rgb="FFFFFFFF"/>
        <rFont val="Noto Sans CJK KR"/>
        <family val="2"/>
      </rPr>
      <t xml:space="preserve">코칭 패키지 </t>
    </r>
    <r>
      <rPr>
        <b val="true"/>
        <sz val="10"/>
        <color rgb="FFFFFFFF"/>
        <rFont val="Arial"/>
        <family val="0"/>
        <charset val="1"/>
      </rPr>
      <t xml:space="preserve">+ </t>
    </r>
    <r>
      <rPr>
        <b val="true"/>
        <sz val="10"/>
        <color rgb="FFFFFFFF"/>
        <rFont val="Noto Sans CJK KR"/>
        <family val="2"/>
      </rPr>
      <t xml:space="preserve">연간 멤버십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</si>
  <si>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sz val="10"/>
        <color rgb="FF000000"/>
        <rFont val="Noto Sans CJK KR"/>
        <family val="2"/>
      </rPr>
      <t xml:space="preserve">  기본 진단 수익 </t>
    </r>
    <r>
      <rPr>
        <sz val="10"/>
        <color rgb="FF000000"/>
        <rFont val="Arial"/>
        <family val="0"/>
        <charset val="1"/>
      </rPr>
      <t xml:space="preserve">(₩)</t>
    </r>
  </si>
  <si>
    <r>
      <rPr>
        <sz val="10"/>
        <color rgb="FF000000"/>
        <rFont val="Arial"/>
        <family val="0"/>
        <charset val="1"/>
      </rPr>
      <t xml:space="preserve">₩/</t>
    </r>
    <r>
      <rPr>
        <sz val="10"/>
        <color rgb="FF000000"/>
        <rFont val="Noto Sans CJK KR"/>
        <family val="2"/>
      </rPr>
      <t xml:space="preserve">년</t>
    </r>
  </si>
  <si>
    <r>
      <rPr>
        <sz val="10"/>
        <color rgb="FF000000"/>
        <rFont val="Noto Sans CJK KR"/>
        <family val="2"/>
      </rPr>
      <t xml:space="preserve">  코칭 패키지 수익 </t>
    </r>
    <r>
      <rPr>
        <sz val="10"/>
        <color rgb="FF000000"/>
        <rFont val="Arial"/>
        <family val="0"/>
        <charset val="1"/>
      </rPr>
      <t xml:space="preserve">(₩)</t>
    </r>
  </si>
  <si>
    <r>
      <rPr>
        <sz val="10"/>
        <color rgb="FF000000"/>
        <rFont val="Noto Sans CJK KR"/>
        <family val="2"/>
      </rPr>
      <t xml:space="preserve">  연간 멤버십 수익 </t>
    </r>
    <r>
      <rPr>
        <sz val="10"/>
        <color rgb="FF000000"/>
        <rFont val="Arial"/>
        <family val="0"/>
        <charset val="1"/>
      </rPr>
      <t xml:space="preserve">(₩)</t>
    </r>
  </si>
  <si>
    <r>
      <rPr>
        <b val="true"/>
        <sz val="10"/>
        <color rgb="FFFFFFFF"/>
        <rFont val="Arial"/>
        <family val="0"/>
        <charset val="1"/>
      </rPr>
      <t xml:space="preserve">★ TEAM </t>
    </r>
    <r>
      <rPr>
        <b val="true"/>
        <sz val="10"/>
        <color rgb="FFFFFFFF"/>
        <rFont val="Noto Sans CJK KR"/>
        <family val="2"/>
      </rPr>
      <t xml:space="preserve">연간 오너 순수익</t>
    </r>
  </si>
  <si>
    <r>
      <rPr>
        <b val="true"/>
        <sz val="13"/>
        <color rgb="FFFFFFFF"/>
        <rFont val="Arial"/>
        <family val="0"/>
        <charset val="1"/>
      </rPr>
      <t xml:space="preserve">③ loveTWO — 2</t>
    </r>
    <r>
      <rPr>
        <b val="true"/>
        <sz val="13"/>
        <color rgb="FFFFFFFF"/>
        <rFont val="Noto Sans CJK KR"/>
        <family val="2"/>
      </rPr>
      <t xml:space="preserve">인 커플 바이럴 웹앱  </t>
    </r>
    <r>
      <rPr>
        <b val="true"/>
        <sz val="13"/>
        <color rgb="FFFFFFFF"/>
        <rFont val="Arial"/>
        <family val="0"/>
        <charset val="1"/>
      </rPr>
      <t xml:space="preserve">|  2027 </t>
    </r>
    <r>
      <rPr>
        <b val="true"/>
        <sz val="13"/>
        <color rgb="FFFFFFFF"/>
        <rFont val="Noto Sans CJK KR"/>
        <family val="2"/>
      </rPr>
      <t xml:space="preserve">런칭  </t>
    </r>
    <r>
      <rPr>
        <b val="true"/>
        <sz val="13"/>
        <color rgb="FFFFFFFF"/>
        <rFont val="Arial"/>
        <family val="0"/>
        <charset val="1"/>
      </rPr>
      <t xml:space="preserve">|  </t>
    </r>
    <r>
      <rPr>
        <b val="true"/>
        <sz val="13"/>
        <color rgb="FFFFFFFF"/>
        <rFont val="Noto Sans CJK KR"/>
        <family val="2"/>
      </rPr>
      <t xml:space="preserve">이메일</t>
    </r>
    <r>
      <rPr>
        <b val="true"/>
        <sz val="13"/>
        <color rgb="FFFFFFFF"/>
        <rFont val="Arial"/>
        <family val="0"/>
        <charset val="1"/>
      </rPr>
      <t xml:space="preserve">DB + Hotmart </t>
    </r>
    <r>
      <rPr>
        <b val="true"/>
        <sz val="13"/>
        <color rgb="FFFFFFFF"/>
        <rFont val="Noto Sans CJK KR"/>
        <family val="2"/>
      </rPr>
      <t xml:space="preserve">파트너 이중 채널</t>
    </r>
  </si>
  <si>
    <r>
      <rPr>
        <i val="true"/>
        <sz val="9"/>
        <color rgb="FF7B3200"/>
        <rFont val="Arial"/>
        <family val="0"/>
        <charset val="1"/>
      </rPr>
      <t xml:space="preserve">2026: SOLO </t>
    </r>
    <r>
      <rPr>
        <i val="true"/>
        <sz val="9"/>
        <color rgb="FF7B3200"/>
        <rFont val="Noto Sans CJK KR"/>
        <family val="2"/>
      </rPr>
      <t xml:space="preserve">운영 중 이메일</t>
    </r>
    <r>
      <rPr>
        <i val="true"/>
        <sz val="9"/>
        <color rgb="FF7B3200"/>
        <rFont val="Arial"/>
        <family val="0"/>
        <charset val="1"/>
      </rPr>
      <t xml:space="preserve">DB 8,000</t>
    </r>
    <r>
      <rPr>
        <i val="true"/>
        <sz val="9"/>
        <color rgb="FF7B3200"/>
        <rFont val="Noto Sans CJK KR"/>
        <family val="2"/>
      </rPr>
      <t xml:space="preserve">명 축적  →  </t>
    </r>
    <r>
      <rPr>
        <i val="true"/>
        <sz val="9"/>
        <color rgb="FF7B3200"/>
        <rFont val="Arial"/>
        <family val="0"/>
        <charset val="1"/>
      </rPr>
      <t xml:space="preserve">2027: </t>
    </r>
    <r>
      <rPr>
        <i val="true"/>
        <sz val="9"/>
        <color rgb="FF7B3200"/>
        <rFont val="Noto Sans CJK KR"/>
        <family val="2"/>
      </rPr>
      <t xml:space="preserve">이메일캠페인 </t>
    </r>
    <r>
      <rPr>
        <i val="true"/>
        <sz val="9"/>
        <color rgb="FF7B3200"/>
        <rFont val="Arial"/>
        <family val="0"/>
        <charset val="1"/>
      </rPr>
      <t xml:space="preserve">+ SOLO</t>
    </r>
    <r>
      <rPr>
        <i val="true"/>
        <sz val="9"/>
        <color rgb="FF7B3200"/>
        <rFont val="Noto Sans CJK KR"/>
        <family val="2"/>
      </rPr>
      <t xml:space="preserve">파트너 </t>
    </r>
    <r>
      <rPr>
        <i val="true"/>
        <sz val="9"/>
        <color rgb="FF7B3200"/>
        <rFont val="Arial"/>
        <family val="0"/>
        <charset val="1"/>
      </rPr>
      <t xml:space="preserve">50% </t>
    </r>
    <r>
      <rPr>
        <i val="true"/>
        <sz val="9"/>
        <color rgb="FF7B3200"/>
        <rFont val="Noto Sans CJK KR"/>
        <family val="2"/>
      </rPr>
      <t xml:space="preserve">겸업 </t>
    </r>
    <r>
      <rPr>
        <i val="true"/>
        <sz val="9"/>
        <color rgb="FF7B3200"/>
        <rFont val="Arial"/>
        <family val="0"/>
        <charset val="1"/>
      </rPr>
      <t xml:space="preserve">+ </t>
    </r>
    <r>
      <rPr>
        <i val="true"/>
        <sz val="9"/>
        <color rgb="FF7B3200"/>
        <rFont val="Noto Sans CJK KR"/>
        <family val="2"/>
      </rPr>
      <t xml:space="preserve">앱 바이럴 </t>
    </r>
    <r>
      <rPr>
        <i val="true"/>
        <sz val="9"/>
        <color rgb="FF7B3200"/>
        <rFont val="Arial"/>
        <family val="0"/>
        <charset val="1"/>
      </rPr>
      <t xml:space="preserve">K=1.4</t>
    </r>
  </si>
  <si>
    <r>
      <rPr>
        <sz val="9"/>
        <color rgb="FF1A2030"/>
        <rFont val="Noto Sans CJK KR"/>
        <family val="2"/>
      </rPr>
      <t xml:space="preserve">준비 </t>
    </r>
    <r>
      <rPr>
        <sz val="9"/>
        <color rgb="FF1A2030"/>
        <rFont val="Arial"/>
        <family val="0"/>
        <charset val="1"/>
      </rPr>
      <t xml:space="preserve">(DB</t>
    </r>
    <r>
      <rPr>
        <sz val="9"/>
        <color rgb="FF1A2030"/>
        <rFont val="Noto Sans CJK KR"/>
        <family val="2"/>
      </rPr>
      <t xml:space="preserve">축적</t>
    </r>
    <r>
      <rPr>
        <sz val="9"/>
        <color rgb="FF1A2030"/>
        <rFont val="Arial"/>
        <family val="0"/>
        <charset val="1"/>
      </rPr>
      <t xml:space="preserve">)</t>
    </r>
  </si>
  <si>
    <r>
      <rPr>
        <b val="true"/>
        <sz val="9"/>
        <color rgb="FF7B3200"/>
        <rFont val="Noto Sans CJK KR"/>
        <family val="2"/>
      </rPr>
      <t xml:space="preserve">★ 런칭</t>
    </r>
    <r>
      <rPr>
        <b val="true"/>
        <sz val="9"/>
        <color rgb="FF7B3200"/>
        <rFont val="Arial"/>
        <family val="0"/>
        <charset val="1"/>
      </rPr>
      <t xml:space="preserve">!</t>
    </r>
  </si>
  <si>
    <t xml:space="preserve">성장</t>
  </si>
  <si>
    <t xml:space="preserve">확장</t>
  </si>
  <si>
    <t xml:space="preserve">안정</t>
  </si>
  <si>
    <r>
      <rPr>
        <b val="true"/>
        <sz val="10"/>
        <color rgb="FFFFFFFF"/>
        <rFont val="Arial"/>
        <family val="0"/>
        <charset val="1"/>
      </rPr>
      <t xml:space="preserve">A. </t>
    </r>
    <r>
      <rPr>
        <b val="true"/>
        <sz val="10"/>
        <color rgb="FFFFFFFF"/>
        <rFont val="Noto Sans CJK KR"/>
        <family val="2"/>
      </rPr>
      <t xml:space="preserve">채널① 이메일 </t>
    </r>
    <r>
      <rPr>
        <b val="true"/>
        <sz val="10"/>
        <color rgb="FFFFFFFF"/>
        <rFont val="Arial"/>
        <family val="0"/>
        <charset val="1"/>
      </rPr>
      <t xml:space="preserve">DB </t>
    </r>
    <r>
      <rPr>
        <b val="true"/>
        <sz val="10"/>
        <color rgb="FFFFFFFF"/>
        <rFont val="Noto Sans CJK KR"/>
        <family val="2"/>
      </rPr>
      <t xml:space="preserve">직판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KR"/>
        <family val="2"/>
      </rPr>
      <t xml:space="preserve">오너 직접 운영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</si>
  <si>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sz val="10"/>
        <color rgb="FF000000"/>
        <rFont val="Noto Sans CJK KR"/>
        <family val="2"/>
      </rPr>
      <t xml:space="preserve">연말 이메일 </t>
    </r>
    <r>
      <rPr>
        <sz val="10"/>
        <color rgb="FF000000"/>
        <rFont val="Arial"/>
        <family val="0"/>
        <charset val="1"/>
      </rPr>
      <t xml:space="preserve">DB </t>
    </r>
    <r>
      <rPr>
        <sz val="10"/>
        <color rgb="FF000000"/>
        <rFont val="Noto Sans CJK KR"/>
        <family val="2"/>
      </rPr>
      <t xml:space="preserve">규모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KR"/>
        <family val="2"/>
      </rPr>
      <t xml:space="preserve">명</t>
    </r>
    <r>
      <rPr>
        <sz val="10"/>
        <color rgb="FF000000"/>
        <rFont val="Arial"/>
        <family val="0"/>
        <charset val="1"/>
      </rPr>
      <t xml:space="preserve">)</t>
    </r>
  </si>
  <si>
    <t xml:space="preserve">명</t>
  </si>
  <si>
    <r>
      <rPr>
        <i val="true"/>
        <sz val="9"/>
        <color rgb="FF666666"/>
        <rFont val="Arial"/>
        <family val="0"/>
        <charset val="1"/>
      </rPr>
      <t xml:space="preserve">2026 DB 8</t>
    </r>
    <r>
      <rPr>
        <i val="true"/>
        <sz val="9"/>
        <color rgb="FF666666"/>
        <rFont val="Noto Sans CJK KR"/>
        <family val="2"/>
      </rPr>
      <t xml:space="preserve">천 축적 → </t>
    </r>
    <r>
      <rPr>
        <i val="true"/>
        <sz val="9"/>
        <color rgb="FF666666"/>
        <rFont val="Arial"/>
        <family val="0"/>
        <charset val="1"/>
      </rPr>
      <t xml:space="preserve">2027 </t>
    </r>
    <r>
      <rPr>
        <i val="true"/>
        <sz val="9"/>
        <color rgb="FF666666"/>
        <rFont val="Noto Sans CJK KR"/>
        <family val="2"/>
      </rPr>
      <t xml:space="preserve">런칭</t>
    </r>
  </si>
  <si>
    <r>
      <rPr>
        <sz val="10"/>
        <color rgb="FF000000"/>
        <rFont val="Noto Sans CJK KR"/>
        <family val="2"/>
      </rPr>
      <t xml:space="preserve">이메일 캠페인 전환자 </t>
    </r>
    <r>
      <rPr>
        <sz val="10"/>
        <color rgb="FF000000"/>
        <rFont val="Arial"/>
        <family val="0"/>
        <charset val="1"/>
      </rPr>
      <t xml:space="preserve">(DB×</t>
    </r>
    <r>
      <rPr>
        <sz val="10"/>
        <color rgb="FF000000"/>
        <rFont val="Noto Sans CJK KR"/>
        <family val="2"/>
      </rPr>
      <t xml:space="preserve">월전환율</t>
    </r>
    <r>
      <rPr>
        <sz val="10"/>
        <color rgb="FF000000"/>
        <rFont val="Arial"/>
        <family val="0"/>
        <charset val="1"/>
      </rPr>
      <t xml:space="preserve">×12)</t>
    </r>
  </si>
  <si>
    <r>
      <rPr>
        <sz val="10"/>
        <color rgb="FF000000"/>
        <rFont val="Noto Sans CJK KR"/>
        <family val="2"/>
      </rPr>
      <t xml:space="preserve">명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KR"/>
        <family val="2"/>
      </rPr>
      <t xml:space="preserve">년</t>
    </r>
  </si>
  <si>
    <r>
      <rPr>
        <sz val="10"/>
        <color rgb="FF000000"/>
        <rFont val="Noto Sans CJK KR"/>
        <family val="2"/>
      </rPr>
      <t xml:space="preserve">앱 바이럴 추가 유저 </t>
    </r>
    <r>
      <rPr>
        <sz val="10"/>
        <color rgb="FF000000"/>
        <rFont val="Arial"/>
        <family val="0"/>
        <charset val="1"/>
      </rPr>
      <t xml:space="preserve">(K-1 × </t>
    </r>
    <r>
      <rPr>
        <sz val="10"/>
        <color rgb="FF000000"/>
        <rFont val="Noto Sans CJK KR"/>
        <family val="2"/>
      </rPr>
      <t xml:space="preserve">캠페인전환자</t>
    </r>
    <r>
      <rPr>
        <sz val="10"/>
        <color rgb="FF000000"/>
        <rFont val="Arial"/>
        <family val="0"/>
        <charset val="1"/>
      </rPr>
      <t xml:space="preserve">)</t>
    </r>
  </si>
  <si>
    <r>
      <rPr>
        <i val="true"/>
        <sz val="9"/>
        <color rgb="FF666666"/>
        <rFont val="Arial"/>
        <family val="0"/>
        <charset val="1"/>
      </rPr>
      <t xml:space="preserve">K=1.4 → </t>
    </r>
    <r>
      <rPr>
        <i val="true"/>
        <sz val="9"/>
        <color rgb="FF666666"/>
        <rFont val="Noto Sans CJK KR"/>
        <family val="2"/>
      </rPr>
      <t xml:space="preserve">추가 </t>
    </r>
    <r>
      <rPr>
        <i val="true"/>
        <sz val="9"/>
        <color rgb="FF666666"/>
        <rFont val="Arial"/>
        <family val="0"/>
        <charset val="1"/>
      </rPr>
      <t xml:space="preserve">0.4</t>
    </r>
    <r>
      <rPr>
        <i val="true"/>
        <sz val="9"/>
        <color rgb="FF666666"/>
        <rFont val="Noto Sans CJK KR"/>
        <family val="2"/>
      </rPr>
      <t xml:space="preserve">배</t>
    </r>
  </si>
  <si>
    <r>
      <rPr>
        <b val="true"/>
        <sz val="10"/>
        <color rgb="FF000000"/>
        <rFont val="Noto Sans CJK KR"/>
        <family val="2"/>
      </rPr>
      <t xml:space="preserve">직판 총 구매자 </t>
    </r>
    <r>
      <rPr>
        <b val="true"/>
        <sz val="10"/>
        <color rgb="FF000000"/>
        <rFont val="Arial"/>
        <family val="0"/>
        <charset val="1"/>
      </rPr>
      <t xml:space="preserve">(</t>
    </r>
    <r>
      <rPr>
        <b val="true"/>
        <sz val="10"/>
        <color rgb="FF000000"/>
        <rFont val="Noto Sans CJK KR"/>
        <family val="2"/>
      </rPr>
      <t xml:space="preserve">캠페인</t>
    </r>
    <r>
      <rPr>
        <b val="true"/>
        <sz val="10"/>
        <color rgb="FF000000"/>
        <rFont val="Arial"/>
        <family val="0"/>
        <charset val="1"/>
      </rPr>
      <t xml:space="preserve">+</t>
    </r>
    <r>
      <rPr>
        <b val="true"/>
        <sz val="10"/>
        <color rgb="FF000000"/>
        <rFont val="Noto Sans CJK KR"/>
        <family val="2"/>
      </rPr>
      <t xml:space="preserve">바이럴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</si>
  <si>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B. </t>
    </r>
    <r>
      <rPr>
        <b val="true"/>
        <sz val="10"/>
        <color rgb="FFFFFFFF"/>
        <rFont val="Noto Sans CJK KR"/>
        <family val="2"/>
      </rPr>
      <t xml:space="preserve">채널② </t>
    </r>
    <r>
      <rPr>
        <b val="true"/>
        <sz val="10"/>
        <color rgb="FFFFFFFF"/>
        <rFont val="Arial"/>
        <family val="0"/>
        <charset val="1"/>
      </rPr>
      <t xml:space="preserve">Hotmart </t>
    </r>
    <r>
      <rPr>
        <b val="true"/>
        <sz val="10"/>
        <color rgb="FFFFFFFF"/>
        <rFont val="Noto Sans CJK KR"/>
        <family val="2"/>
      </rPr>
      <t xml:space="preserve">파트너 제휴 </t>
    </r>
    <r>
      <rPr>
        <b val="true"/>
        <sz val="10"/>
        <color rgb="FFFFFFFF"/>
        <rFont val="Arial"/>
        <family val="0"/>
        <charset val="1"/>
      </rPr>
      <t xml:space="preserve">(SOLO </t>
    </r>
    <r>
      <rPr>
        <b val="true"/>
        <sz val="10"/>
        <color rgb="FFFFFFFF"/>
        <rFont val="Noto Sans CJK KR"/>
        <family val="2"/>
      </rPr>
      <t xml:space="preserve">파트너 </t>
    </r>
    <r>
      <rPr>
        <b val="true"/>
        <sz val="10"/>
        <color rgb="FFFFFFFF"/>
        <rFont val="Arial"/>
        <family val="0"/>
        <charset val="1"/>
      </rPr>
      <t xml:space="preserve">50% </t>
    </r>
    <r>
      <rPr>
        <b val="true"/>
        <sz val="10"/>
        <color rgb="FFFFFFFF"/>
        <rFont val="Noto Sans CJK KR"/>
        <family val="2"/>
      </rPr>
      <t xml:space="preserve">겸업</t>
    </r>
    <r>
      <rPr>
        <b val="true"/>
        <sz val="10"/>
        <color rgb="FFFFFFFF"/>
        <rFont val="Arial"/>
        <family val="0"/>
        <charset val="1"/>
      </rPr>
      <t xml:space="preserve">, 2027~)</t>
    </r>
  </si>
  <si>
    <r>
      <rPr>
        <sz val="10"/>
        <color rgb="FF000000"/>
        <rFont val="Arial"/>
        <family val="0"/>
        <charset val="1"/>
      </rPr>
      <t xml:space="preserve">loveTWO </t>
    </r>
    <r>
      <rPr>
        <sz val="10"/>
        <color rgb="FF000000"/>
        <rFont val="Noto Sans CJK KR"/>
        <family val="2"/>
      </rPr>
      <t xml:space="preserve">겸업 파트너 수</t>
    </r>
  </si>
  <si>
    <r>
      <rPr>
        <i val="true"/>
        <sz val="9"/>
        <color rgb="FF666666"/>
        <rFont val="Arial"/>
        <family val="0"/>
        <charset val="1"/>
      </rPr>
      <t xml:space="preserve">SOLO </t>
    </r>
    <r>
      <rPr>
        <i val="true"/>
        <sz val="9"/>
        <color rgb="FF666666"/>
        <rFont val="Noto Sans CJK KR"/>
        <family val="2"/>
      </rPr>
      <t xml:space="preserve">활성 파트너 </t>
    </r>
    <r>
      <rPr>
        <i val="true"/>
        <sz val="9"/>
        <color rgb="FF666666"/>
        <rFont val="Arial"/>
        <family val="0"/>
        <charset val="1"/>
      </rPr>
      <t xml:space="preserve">× 50%</t>
    </r>
  </si>
  <si>
    <t xml:space="preserve">파트너 채널 연간 판매량</t>
  </si>
  <si>
    <r>
      <rPr>
        <sz val="10"/>
        <color rgb="FF000000"/>
        <rFont val="Noto Sans CJK KR"/>
        <family val="2"/>
      </rPr>
      <t xml:space="preserve">개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KR"/>
        <family val="2"/>
      </rPr>
      <t xml:space="preserve">년</t>
    </r>
  </si>
  <si>
    <r>
      <rPr>
        <b val="true"/>
        <sz val="10"/>
        <color rgb="FFFFFFFF"/>
        <rFont val="Arial"/>
        <family val="0"/>
        <charset val="1"/>
      </rPr>
      <t xml:space="preserve">C. loveTWO </t>
    </r>
    <r>
      <rPr>
        <b val="true"/>
        <sz val="10"/>
        <color rgb="FFFFFFFF"/>
        <rFont val="Noto Sans CJK KR"/>
        <family val="2"/>
      </rPr>
      <t xml:space="preserve">오너 순수익</t>
    </r>
  </si>
  <si>
    <r>
      <rPr>
        <sz val="10"/>
        <color rgb="FF000000"/>
        <rFont val="Noto Sans CJK KR"/>
        <family val="2"/>
      </rPr>
      <t xml:space="preserve">직판 — 기본 리포트 수익 </t>
    </r>
    <r>
      <rPr>
        <sz val="10"/>
        <color rgb="FF000000"/>
        <rFont val="Arial"/>
        <family val="0"/>
        <charset val="1"/>
      </rPr>
      <t xml:space="preserve">(₩)</t>
    </r>
  </si>
  <si>
    <r>
      <rPr>
        <sz val="10"/>
        <color rgb="FF000000"/>
        <rFont val="Noto Sans CJK KR"/>
        <family val="2"/>
      </rPr>
      <t xml:space="preserve">직판 — 심화 번들 수익 </t>
    </r>
    <r>
      <rPr>
        <sz val="10"/>
        <color rgb="FF000000"/>
        <rFont val="Arial"/>
        <family val="0"/>
        <charset val="1"/>
      </rPr>
      <t xml:space="preserve">(₩)</t>
    </r>
  </si>
  <si>
    <r>
      <rPr>
        <sz val="10"/>
        <color rgb="FF000000"/>
        <rFont val="Noto Sans CJK KR"/>
        <family val="2"/>
      </rPr>
      <t xml:space="preserve">파트너 채널 — 오너 순수익 </t>
    </r>
    <r>
      <rPr>
        <sz val="10"/>
        <color rgb="FF000000"/>
        <rFont val="Arial"/>
        <family val="0"/>
        <charset val="1"/>
      </rPr>
      <t xml:space="preserve">(₩)</t>
    </r>
  </si>
  <si>
    <r>
      <rPr>
        <sz val="10"/>
        <color rgb="FFCC0000"/>
        <rFont val="Noto Sans CJK KR"/>
        <family val="2"/>
      </rPr>
      <t xml:space="preserve">광고비 차감 </t>
    </r>
    <r>
      <rPr>
        <sz val="10"/>
        <color rgb="FFCC0000"/>
        <rFont val="Arial"/>
        <family val="0"/>
        <charset val="1"/>
      </rPr>
      <t xml:space="preserve">(₩)</t>
    </r>
  </si>
  <si>
    <r>
      <rPr>
        <b val="true"/>
        <sz val="10"/>
        <color rgb="FFFFFFFF"/>
        <rFont val="Arial"/>
        <family val="0"/>
        <charset val="1"/>
      </rPr>
      <t xml:space="preserve">★ loveTWO </t>
    </r>
    <r>
      <rPr>
        <b val="true"/>
        <sz val="10"/>
        <color rgb="FFFFFFFF"/>
        <rFont val="Noto Sans CJK KR"/>
        <family val="2"/>
      </rPr>
      <t xml:space="preserve">연간 오너 순수익</t>
    </r>
  </si>
  <si>
    <r>
      <rPr>
        <b val="true"/>
        <sz val="13"/>
        <color rgb="FFFFFFFF"/>
        <rFont val="Arial"/>
        <family val="0"/>
        <charset val="1"/>
      </rPr>
      <t xml:space="preserve">② SOLO — 1</t>
    </r>
    <r>
      <rPr>
        <b val="true"/>
        <sz val="13"/>
        <color rgb="FFFFFFFF"/>
        <rFont val="Noto Sans CJK KR"/>
        <family val="2"/>
      </rPr>
      <t xml:space="preserve">인 </t>
    </r>
    <r>
      <rPr>
        <b val="true"/>
        <sz val="13"/>
        <color rgb="FFFFFFFF"/>
        <rFont val="Arial"/>
        <family val="0"/>
        <charset val="1"/>
      </rPr>
      <t xml:space="preserve">Self-Help </t>
    </r>
    <r>
      <rPr>
        <b val="true"/>
        <sz val="13"/>
        <color rgb="FFFFFFFF"/>
        <rFont val="Noto Sans CJK KR"/>
        <family val="2"/>
      </rPr>
      <t xml:space="preserve">개성화  </t>
    </r>
    <r>
      <rPr>
        <b val="true"/>
        <sz val="13"/>
        <color rgb="FFFFFFFF"/>
        <rFont val="Arial"/>
        <family val="0"/>
        <charset val="1"/>
      </rPr>
      <t xml:space="preserve">|  ES+PT+EN </t>
    </r>
    <r>
      <rPr>
        <b val="true"/>
        <sz val="13"/>
        <color rgb="FFFFFFFF"/>
        <rFont val="Noto Sans CJK KR"/>
        <family val="2"/>
      </rPr>
      <t xml:space="preserve">동시 운영  </t>
    </r>
    <r>
      <rPr>
        <b val="true"/>
        <sz val="13"/>
        <color rgb="FFFFFFFF"/>
        <rFont val="Arial"/>
        <family val="0"/>
        <charset val="1"/>
      </rPr>
      <t xml:space="preserve">|  2026 </t>
    </r>
    <r>
      <rPr>
        <b val="true"/>
        <sz val="13"/>
        <color rgb="FFFFFFFF"/>
        <rFont val="Noto Sans CJK KR"/>
        <family val="2"/>
      </rPr>
      <t xml:space="preserve">집중→전 기간 지속</t>
    </r>
  </si>
  <si>
    <r>
      <rPr>
        <i val="true"/>
        <sz val="9"/>
        <color rgb="FF1E3F6E"/>
        <rFont val="Arial"/>
        <family val="0"/>
        <charset val="1"/>
      </rPr>
      <t xml:space="preserve">Hotmart </t>
    </r>
    <r>
      <rPr>
        <i val="true"/>
        <sz val="9"/>
        <color rgb="FF1E3F6E"/>
        <rFont val="Noto Sans CJK KR"/>
        <family val="2"/>
      </rPr>
      <t xml:space="preserve">남미 파트너 </t>
    </r>
    <r>
      <rPr>
        <i val="true"/>
        <sz val="9"/>
        <color rgb="FF1E3F6E"/>
        <rFont val="Arial"/>
        <family val="0"/>
        <charset val="1"/>
      </rPr>
      <t xml:space="preserve">200</t>
    </r>
    <r>
      <rPr>
        <i val="true"/>
        <sz val="9"/>
        <color rgb="FF1E3F6E"/>
        <rFont val="Noto Sans CJK KR"/>
        <family val="2"/>
      </rPr>
      <t xml:space="preserve">명 → </t>
    </r>
    <r>
      <rPr>
        <i val="true"/>
        <sz val="9"/>
        <color rgb="FF1E3F6E"/>
        <rFont val="Arial"/>
        <family val="0"/>
        <charset val="1"/>
      </rPr>
      <t xml:space="preserve">K=0.45 </t>
    </r>
    <r>
      <rPr>
        <i val="true"/>
        <sz val="9"/>
        <color rgb="FF1E3F6E"/>
        <rFont val="Noto Sans CJK KR"/>
        <family val="2"/>
      </rPr>
      <t xml:space="preserve">월 복리 → </t>
    </r>
    <r>
      <rPr>
        <i val="true"/>
        <sz val="9"/>
        <color rgb="FF1E3F6E"/>
        <rFont val="Arial"/>
        <family val="0"/>
        <charset val="1"/>
      </rPr>
      <t xml:space="preserve">5</t>
    </r>
    <r>
      <rPr>
        <i val="true"/>
        <sz val="9"/>
        <color rgb="FF1E3F6E"/>
        <rFont val="Noto Sans CJK KR"/>
        <family val="2"/>
      </rPr>
      <t xml:space="preserve">년 자동화 수익 엔진</t>
    </r>
  </si>
  <si>
    <r>
      <rPr>
        <b val="true"/>
        <sz val="10"/>
        <color rgb="FFFFFFFF"/>
        <rFont val="Arial"/>
        <family val="0"/>
        <charset val="1"/>
      </rPr>
      <t xml:space="preserve">A. </t>
    </r>
    <r>
      <rPr>
        <b val="true"/>
        <sz val="10"/>
        <color rgb="FFFFFFFF"/>
        <rFont val="Noto Sans CJK KR"/>
        <family val="2"/>
      </rPr>
      <t xml:space="preserve">파트너 풀 성장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KR"/>
        <family val="2"/>
      </rPr>
      <t xml:space="preserve">연 </t>
    </r>
    <r>
      <rPr>
        <b val="true"/>
        <sz val="10"/>
        <color rgb="FFFFFFFF"/>
        <rFont val="Arial"/>
        <family val="0"/>
        <charset val="1"/>
      </rPr>
      <t xml:space="preserve">150% </t>
    </r>
    <r>
      <rPr>
        <b val="true"/>
        <sz val="10"/>
        <color rgb="FFFFFFFF"/>
        <rFont val="Noto Sans CJK KR"/>
        <family val="2"/>
      </rPr>
      <t xml:space="preserve">순증가</t>
    </r>
    <r>
      <rPr>
        <b val="true"/>
        <sz val="10"/>
        <color rgb="FFFFFFFF"/>
        <rFont val="Arial"/>
        <family val="0"/>
        <charset val="1"/>
      </rPr>
      <t xml:space="preserve">, </t>
    </r>
    <r>
      <rPr>
        <b val="true"/>
        <sz val="10"/>
        <color rgb="FFFFFFFF"/>
        <rFont val="Noto Sans CJK KR"/>
        <family val="2"/>
      </rPr>
      <t xml:space="preserve">이탈률 </t>
    </r>
    <r>
      <rPr>
        <b val="true"/>
        <sz val="10"/>
        <color rgb="FFFFFFFF"/>
        <rFont val="Arial"/>
        <family val="0"/>
        <charset val="1"/>
      </rPr>
      <t xml:space="preserve">12%/</t>
    </r>
    <r>
      <rPr>
        <b val="true"/>
        <sz val="10"/>
        <color rgb="FFFFFFFF"/>
        <rFont val="Noto Sans CJK KR"/>
        <family val="2"/>
      </rPr>
      <t xml:space="preserve">년</t>
    </r>
    <r>
      <rPr>
        <b val="true"/>
        <sz val="10"/>
        <color rgb="FFFFFFFF"/>
        <rFont val="Arial"/>
        <family val="0"/>
        <charset val="1"/>
      </rPr>
      <t xml:space="preserve">) — Hotmart </t>
    </r>
    <r>
      <rPr>
        <b val="true"/>
        <sz val="10"/>
        <color rgb="FFFFFFFF"/>
        <rFont val="Noto Sans CJK KR"/>
        <family val="2"/>
      </rPr>
      <t xml:space="preserve">남미 </t>
    </r>
    <r>
      <rPr>
        <b val="true"/>
        <sz val="10"/>
        <color rgb="FFFFFFFF"/>
        <rFont val="Arial"/>
        <family val="0"/>
        <charset val="1"/>
      </rPr>
      <t xml:space="preserve">200</t>
    </r>
    <r>
      <rPr>
        <b val="true"/>
        <sz val="10"/>
        <color rgb="FFFFFFFF"/>
        <rFont val="Noto Sans CJK KR"/>
        <family val="2"/>
      </rPr>
      <t xml:space="preserve">명 시작</t>
    </r>
  </si>
  <si>
    <t xml:space="preserve">연초 총 파트너 수</t>
  </si>
  <si>
    <t xml:space="preserve">매년 연초 기준</t>
  </si>
  <si>
    <t xml:space="preserve">  활성 파트너</t>
  </si>
  <si>
    <r>
      <rPr>
        <sz val="10"/>
        <color rgb="FF000000"/>
        <rFont val="Noto Sans CJK KR"/>
        <family val="2"/>
      </rPr>
      <t xml:space="preserve">  상위 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KR"/>
        <family val="2"/>
      </rPr>
      <t xml:space="preserve">파트너</t>
    </r>
  </si>
  <si>
    <r>
      <rPr>
        <b val="true"/>
        <sz val="10"/>
        <color rgb="FFFFFFFF"/>
        <rFont val="Arial"/>
        <family val="0"/>
        <charset val="1"/>
      </rPr>
      <t xml:space="preserve">B. T1 </t>
    </r>
    <r>
      <rPr>
        <b val="true"/>
        <sz val="10"/>
        <color rgb="FFFFFFFF"/>
        <rFont val="Noto Sans CJK KR"/>
        <family val="2"/>
      </rPr>
      <t xml:space="preserve">연간 판매량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KR"/>
        <family val="2"/>
      </rPr>
      <t xml:space="preserve">상위</t>
    </r>
    <r>
      <rPr>
        <b val="true"/>
        <sz val="10"/>
        <color rgb="FFFFFFFF"/>
        <rFont val="Arial"/>
        <family val="0"/>
        <charset val="1"/>
      </rPr>
      <t xml:space="preserve">20%×25</t>
    </r>
    <r>
      <rPr>
        <b val="true"/>
        <sz val="10"/>
        <color rgb="FFFFFFFF"/>
        <rFont val="Noto Sans CJK KR"/>
        <family val="2"/>
      </rPr>
      <t xml:space="preserve">개 </t>
    </r>
    <r>
      <rPr>
        <b val="true"/>
        <sz val="10"/>
        <color rgb="FFFFFFFF"/>
        <rFont val="Arial"/>
        <family val="0"/>
        <charset val="1"/>
      </rPr>
      <t xml:space="preserve">+ </t>
    </r>
    <r>
      <rPr>
        <b val="true"/>
        <sz val="10"/>
        <color rgb="FFFFFFFF"/>
        <rFont val="Noto Sans CJK KR"/>
        <family val="2"/>
      </rPr>
      <t xml:space="preserve">중위</t>
    </r>
    <r>
      <rPr>
        <b val="true"/>
        <sz val="10"/>
        <color rgb="FFFFFFFF"/>
        <rFont val="Arial"/>
        <family val="0"/>
        <charset val="1"/>
      </rPr>
      <t xml:space="preserve">60%×6</t>
    </r>
    <r>
      <rPr>
        <b val="true"/>
        <sz val="10"/>
        <color rgb="FFFFFFFF"/>
        <rFont val="Noto Sans CJK KR"/>
        <family val="2"/>
      </rPr>
      <t xml:space="preserve">개 </t>
    </r>
    <r>
      <rPr>
        <b val="true"/>
        <sz val="10"/>
        <color rgb="FFFFFFFF"/>
        <rFont val="Arial"/>
        <family val="0"/>
        <charset val="1"/>
      </rPr>
      <t xml:space="preserve">+ </t>
    </r>
    <r>
      <rPr>
        <b val="true"/>
        <sz val="10"/>
        <color rgb="FFFFFFFF"/>
        <rFont val="Noto Sans CJK KR"/>
        <family val="2"/>
      </rPr>
      <t xml:space="preserve">하위</t>
    </r>
    <r>
      <rPr>
        <b val="true"/>
        <sz val="10"/>
        <color rgb="FFFFFFFF"/>
        <rFont val="Arial"/>
        <family val="0"/>
        <charset val="1"/>
      </rPr>
      <t xml:space="preserve">20%×1</t>
    </r>
    <r>
      <rPr>
        <b val="true"/>
        <sz val="10"/>
        <color rgb="FFFFFFFF"/>
        <rFont val="Noto Sans CJK KR"/>
        <family val="2"/>
      </rPr>
      <t xml:space="preserve">개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</si>
  <si>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sz val="10"/>
        <color rgb="FF000000"/>
        <rFont val="Noto Sans CJK KR"/>
        <family val="2"/>
      </rPr>
      <t xml:space="preserve">월 </t>
    </r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KR"/>
        <family val="2"/>
      </rPr>
      <t xml:space="preserve">판매량</t>
    </r>
  </si>
  <si>
    <r>
      <rPr>
        <sz val="10"/>
        <color rgb="FF000000"/>
        <rFont val="Noto Sans CJK KR"/>
        <family val="2"/>
      </rPr>
      <t xml:space="preserve">개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KR"/>
        <family val="2"/>
      </rPr>
      <t xml:space="preserve">월</t>
    </r>
  </si>
  <si>
    <r>
      <rPr>
        <b val="true"/>
        <sz val="10"/>
        <color rgb="FF000000"/>
        <rFont val="Noto Sans CJK KR"/>
        <family val="2"/>
      </rPr>
      <t xml:space="preserve">연간 </t>
    </r>
    <r>
      <rPr>
        <b val="true"/>
        <sz val="10"/>
        <color rgb="FF000000"/>
        <rFont val="Arial"/>
        <family val="0"/>
        <charset val="1"/>
      </rPr>
      <t xml:space="preserve">T1 </t>
    </r>
    <r>
      <rPr>
        <b val="true"/>
        <sz val="10"/>
        <color rgb="FF000000"/>
        <rFont val="Noto Sans CJK KR"/>
        <family val="2"/>
      </rPr>
      <t xml:space="preserve">판매량</t>
    </r>
  </si>
  <si>
    <r>
      <rPr>
        <sz val="10"/>
        <color rgb="FF000000"/>
        <rFont val="Arial"/>
        <family val="0"/>
        <charset val="1"/>
      </rPr>
      <t xml:space="preserve">  T2 OTO </t>
    </r>
    <r>
      <rPr>
        <sz val="10"/>
        <color rgb="FF000000"/>
        <rFont val="Noto Sans CJK KR"/>
        <family val="2"/>
      </rPr>
      <t xml:space="preserve">판매량</t>
    </r>
  </si>
  <si>
    <r>
      <rPr>
        <sz val="10"/>
        <color rgb="FF000000"/>
        <rFont val="Arial"/>
        <family val="0"/>
        <charset val="1"/>
      </rPr>
      <t xml:space="preserve">  T3 </t>
    </r>
    <r>
      <rPr>
        <sz val="10"/>
        <color rgb="FF000000"/>
        <rFont val="Noto Sans CJK KR"/>
        <family val="2"/>
      </rPr>
      <t xml:space="preserve">업셀 판매량</t>
    </r>
  </si>
  <si>
    <t xml:space="preserve">  부록 판매량</t>
  </si>
  <si>
    <r>
      <rPr>
        <b val="true"/>
        <sz val="10"/>
        <color rgb="FFFFFFFF"/>
        <rFont val="Arial"/>
        <family val="0"/>
        <charset val="1"/>
      </rPr>
      <t xml:space="preserve">C. SOLO </t>
    </r>
    <r>
      <rPr>
        <b val="true"/>
        <sz val="10"/>
        <color rgb="FFFFFFFF"/>
        <rFont val="Noto Sans CJK KR"/>
        <family val="2"/>
      </rPr>
      <t xml:space="preserve">오너 순수익 </t>
    </r>
    <r>
      <rPr>
        <b val="true"/>
        <sz val="10"/>
        <color rgb="FFFFFFFF"/>
        <rFont val="Arial"/>
        <family val="0"/>
        <charset val="1"/>
      </rPr>
      <t xml:space="preserve">(Hotmart </t>
    </r>
    <r>
      <rPr>
        <b val="true"/>
        <sz val="10"/>
        <color rgb="FFFFFFFF"/>
        <rFont val="Noto Sans CJK KR"/>
        <family val="2"/>
      </rPr>
      <t xml:space="preserve">수수료 </t>
    </r>
    <r>
      <rPr>
        <b val="true"/>
        <sz val="10"/>
        <color rgb="FFFFFFFF"/>
        <rFont val="Arial"/>
        <family val="0"/>
        <charset val="1"/>
      </rPr>
      <t xml:space="preserve">+ </t>
    </r>
    <r>
      <rPr>
        <b val="true"/>
        <sz val="10"/>
        <color rgb="FFFFFFFF"/>
        <rFont val="Noto Sans CJK KR"/>
        <family val="2"/>
      </rPr>
      <t xml:space="preserve">파트너 커미션 차감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</si>
  <si>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  T1 </t>
    </r>
    <r>
      <rPr>
        <sz val="10"/>
        <color rgb="FF000000"/>
        <rFont val="Noto Sans CJK KR"/>
        <family val="2"/>
      </rPr>
      <t xml:space="preserve">오너 순수익</t>
    </r>
  </si>
  <si>
    <r>
      <rPr>
        <sz val="10"/>
        <color rgb="FF000000"/>
        <rFont val="Arial"/>
        <family val="0"/>
        <charset val="1"/>
      </rPr>
      <t xml:space="preserve">  T2 </t>
    </r>
    <r>
      <rPr>
        <sz val="10"/>
        <color rgb="FF000000"/>
        <rFont val="Noto Sans CJK KR"/>
        <family val="2"/>
      </rPr>
      <t xml:space="preserve">오너 순수익</t>
    </r>
  </si>
  <si>
    <r>
      <rPr>
        <sz val="10"/>
        <color rgb="FF000000"/>
        <rFont val="Arial"/>
        <family val="0"/>
        <charset val="1"/>
      </rPr>
      <t xml:space="preserve">  T3 </t>
    </r>
    <r>
      <rPr>
        <sz val="10"/>
        <color rgb="FF000000"/>
        <rFont val="Noto Sans CJK KR"/>
        <family val="2"/>
      </rPr>
      <t xml:space="preserve">오너 순수익</t>
    </r>
  </si>
  <si>
    <t xml:space="preserve">  부록 오너 순수익</t>
  </si>
  <si>
    <r>
      <rPr>
        <b val="true"/>
        <sz val="10"/>
        <color rgb="FFFFFFFF"/>
        <rFont val="Arial"/>
        <family val="0"/>
        <charset val="1"/>
      </rPr>
      <t xml:space="preserve">★ SOLO </t>
    </r>
    <r>
      <rPr>
        <b val="true"/>
        <sz val="10"/>
        <color rgb="FFFFFFFF"/>
        <rFont val="Noto Sans CJK KR"/>
        <family val="2"/>
      </rPr>
      <t xml:space="preserve">연간 오너 순수익</t>
    </r>
  </si>
  <si>
    <r>
      <rPr>
        <b val="true"/>
        <sz val="13"/>
        <color rgb="FFFFFFFF"/>
        <rFont val="Arial"/>
        <family val="0"/>
        <charset val="1"/>
      </rPr>
      <t xml:space="preserve">ShiningShadow </t>
    </r>
    <r>
      <rPr>
        <b val="true"/>
        <sz val="13"/>
        <color rgb="FFFFFFFF"/>
        <rFont val="Noto Sans CJK KR"/>
        <family val="2"/>
      </rPr>
      <t xml:space="preserve">생태계 수익 시뮬레이션 </t>
    </r>
    <r>
      <rPr>
        <b val="true"/>
        <sz val="13"/>
        <color rgb="FFFFFFFF"/>
        <rFont val="Arial"/>
        <family val="0"/>
        <charset val="1"/>
      </rPr>
      <t xml:space="preserve">v4  |  </t>
    </r>
    <r>
      <rPr>
        <b val="true"/>
        <sz val="13"/>
        <color rgb="FFFFFFFF"/>
        <rFont val="Noto Sans CJK KR"/>
        <family val="2"/>
      </rPr>
      <t xml:space="preserve">공격형</t>
    </r>
    <r>
      <rPr>
        <b val="true"/>
        <sz val="13"/>
        <color rgb="FFFFFFFF"/>
        <rFont val="Arial"/>
        <family val="0"/>
        <charset val="1"/>
      </rPr>
      <t xml:space="preserve">: Hotmart </t>
    </r>
    <r>
      <rPr>
        <b val="true"/>
        <sz val="13"/>
        <color rgb="FFFFFFFF"/>
        <rFont val="Noto Sans CJK KR"/>
        <family val="2"/>
      </rPr>
      <t xml:space="preserve">남미 </t>
    </r>
    <r>
      <rPr>
        <b val="true"/>
        <sz val="13"/>
        <color rgb="FFFFFFFF"/>
        <rFont val="Arial"/>
        <family val="0"/>
        <charset val="1"/>
      </rPr>
      <t xml:space="preserve">200</t>
    </r>
    <r>
      <rPr>
        <b val="true"/>
        <sz val="13"/>
        <color rgb="FFFFFFFF"/>
        <rFont val="Noto Sans CJK KR"/>
        <family val="2"/>
      </rPr>
      <t xml:space="preserve">명 → </t>
    </r>
    <r>
      <rPr>
        <b val="true"/>
        <sz val="13"/>
        <color rgb="FFFFFFFF"/>
        <rFont val="Arial"/>
        <family val="0"/>
        <charset val="1"/>
      </rPr>
      <t xml:space="preserve">K=0.45 | SOLO(26)→loveTWO(27)→TEAM(28)</t>
    </r>
  </si>
  <si>
    <r>
      <rPr>
        <i val="true"/>
        <sz val="9"/>
        <color rgb="FF1A2030"/>
        <rFont val="Noto Sans CJK KR"/>
        <family val="2"/>
      </rPr>
      <t xml:space="preserve">파란 셀 </t>
    </r>
    <r>
      <rPr>
        <i val="true"/>
        <sz val="9"/>
        <color rgb="FF1A2030"/>
        <rFont val="Arial"/>
        <family val="0"/>
        <charset val="1"/>
      </rPr>
      <t xml:space="preserve">= </t>
    </r>
    <r>
      <rPr>
        <i val="true"/>
        <sz val="9"/>
        <color rgb="FF1A2030"/>
        <rFont val="Noto Sans CJK KR"/>
        <family val="2"/>
      </rPr>
      <t xml:space="preserve">입력값 조정 가능  </t>
    </r>
    <r>
      <rPr>
        <i val="true"/>
        <sz val="9"/>
        <color rgb="FF1A2030"/>
        <rFont val="Arial"/>
        <family val="0"/>
        <charset val="1"/>
      </rPr>
      <t xml:space="preserve">|  </t>
    </r>
    <r>
      <rPr>
        <i val="true"/>
        <sz val="9"/>
        <color rgb="FF1A2030"/>
        <rFont val="Noto Sans CJK KR"/>
        <family val="2"/>
      </rPr>
      <t xml:space="preserve">검은 셀 </t>
    </r>
    <r>
      <rPr>
        <i val="true"/>
        <sz val="9"/>
        <color rgb="FF1A2030"/>
        <rFont val="Arial"/>
        <family val="0"/>
        <charset val="1"/>
      </rPr>
      <t xml:space="preserve">= </t>
    </r>
    <r>
      <rPr>
        <i val="true"/>
        <sz val="9"/>
        <color rgb="FF1A2030"/>
        <rFont val="Noto Sans CJK KR"/>
        <family val="2"/>
      </rPr>
      <t xml:space="preserve">수식  </t>
    </r>
    <r>
      <rPr>
        <i val="true"/>
        <sz val="9"/>
        <color rgb="FF1A2030"/>
        <rFont val="Arial"/>
        <family val="0"/>
        <charset val="1"/>
      </rPr>
      <t xml:space="preserve">|  </t>
    </r>
    <r>
      <rPr>
        <i val="true"/>
        <sz val="9"/>
        <color rgb="FF1A2030"/>
        <rFont val="Noto Sans CJK KR"/>
        <family val="2"/>
      </rPr>
      <t xml:space="preserve">초록 셀 </t>
    </r>
    <r>
      <rPr>
        <i val="true"/>
        <sz val="9"/>
        <color rgb="FF1A2030"/>
        <rFont val="Arial"/>
        <family val="0"/>
        <charset val="1"/>
      </rPr>
      <t xml:space="preserve">= </t>
    </r>
    <r>
      <rPr>
        <i val="true"/>
        <sz val="9"/>
        <color rgb="FF1A2030"/>
        <rFont val="Noto Sans CJK KR"/>
        <family val="2"/>
      </rPr>
      <t xml:space="preserve">타시트 연동</t>
    </r>
  </si>
  <si>
    <r>
      <rPr>
        <b val="true"/>
        <sz val="10"/>
        <color rgb="FFFFFFFF"/>
        <rFont val="Noto Sans CJK KR"/>
        <family val="2"/>
      </rPr>
      <t xml:space="preserve">① 공통 가정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KR"/>
        <family val="2"/>
      </rPr>
      <t xml:space="preserve">전 제품 공유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</si>
  <si>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③ loveTWO — </t>
    </r>
    <r>
      <rPr>
        <b val="true"/>
        <sz val="10"/>
        <color rgb="FFFFFFFF"/>
        <rFont val="Noto Sans CJK KR"/>
        <family val="2"/>
      </rPr>
      <t xml:space="preserve">이메일</t>
    </r>
    <r>
      <rPr>
        <b val="true"/>
        <sz val="10"/>
        <color rgb="FFFFFFFF"/>
        <rFont val="Arial"/>
        <family val="0"/>
        <charset val="1"/>
      </rPr>
      <t xml:space="preserve">DB + Hotmart </t>
    </r>
    <r>
      <rPr>
        <b val="true"/>
        <sz val="10"/>
        <color rgb="FFFFFFFF"/>
        <rFont val="Noto Sans CJK KR"/>
        <family val="2"/>
      </rPr>
      <t xml:space="preserve">파트너 </t>
    </r>
    <r>
      <rPr>
        <b val="true"/>
        <sz val="10"/>
        <color rgb="FFFFFFFF"/>
        <rFont val="Arial"/>
        <family val="0"/>
        <charset val="1"/>
      </rPr>
      <t xml:space="preserve">(2027~ </t>
    </r>
    <r>
      <rPr>
        <b val="true"/>
        <sz val="10"/>
        <color rgb="FFFFFFFF"/>
        <rFont val="Noto Sans CJK KR"/>
        <family val="2"/>
      </rPr>
      <t xml:space="preserve">런칭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</si>
  <si>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항목</t>
  </si>
  <si>
    <t xml:space="preserve">값</t>
  </si>
  <si>
    <r>
      <rPr>
        <sz val="10"/>
        <color rgb="FF000000"/>
        <rFont val="Noto Sans CJK KR"/>
        <family val="2"/>
      </rPr>
      <t xml:space="preserve">환율 </t>
    </r>
    <r>
      <rPr>
        <sz val="10"/>
        <color rgb="FF000000"/>
        <rFont val="Arial"/>
        <family val="0"/>
        <charset val="1"/>
      </rPr>
      <t xml:space="preserve">USD→KRW</t>
    </r>
  </si>
  <si>
    <r>
      <rPr>
        <i val="true"/>
        <sz val="9"/>
        <color rgb="FF666666"/>
        <rFont val="Arial"/>
        <family val="0"/>
        <charset val="1"/>
      </rPr>
      <t xml:space="preserve">Hotmart </t>
    </r>
    <r>
      <rPr>
        <i val="true"/>
        <sz val="9"/>
        <color rgb="FF666666"/>
        <rFont val="Noto Sans CJK KR"/>
        <family val="2"/>
      </rPr>
      <t xml:space="preserve">정산 기준</t>
    </r>
  </si>
  <si>
    <r>
      <rPr>
        <sz val="10"/>
        <color rgb="FF000000"/>
        <rFont val="Noto Sans CJK KR"/>
        <family val="2"/>
      </rPr>
      <t xml:space="preserve">초기 이메일 </t>
    </r>
    <r>
      <rPr>
        <sz val="10"/>
        <color rgb="FF000000"/>
        <rFont val="Arial"/>
        <family val="0"/>
        <charset val="1"/>
      </rPr>
      <t xml:space="preserve">DB (2027</t>
    </r>
    <r>
      <rPr>
        <sz val="10"/>
        <color rgb="FF000000"/>
        <rFont val="Noto Sans CJK KR"/>
        <family val="2"/>
      </rPr>
      <t xml:space="preserve">년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KR"/>
        <family val="2"/>
      </rPr>
      <t xml:space="preserve">명</t>
    </r>
    <r>
      <rPr>
        <sz val="10"/>
        <color rgb="FF000000"/>
        <rFont val="Arial"/>
        <family val="0"/>
        <charset val="1"/>
      </rPr>
      <t xml:space="preserve">)</t>
    </r>
  </si>
  <si>
    <r>
      <rPr>
        <i val="true"/>
        <sz val="9"/>
        <color rgb="FF666666"/>
        <rFont val="Arial"/>
        <family val="0"/>
        <charset val="1"/>
      </rPr>
      <t xml:space="preserve">2026 SOLO </t>
    </r>
    <r>
      <rPr>
        <i val="true"/>
        <sz val="9"/>
        <color rgb="FF666666"/>
        <rFont val="Noto Sans CJK KR"/>
        <family val="2"/>
      </rPr>
      <t xml:space="preserve">운영 중 축적</t>
    </r>
  </si>
  <si>
    <r>
      <rPr>
        <sz val="10"/>
        <color rgb="FF000000"/>
        <rFont val="Arial"/>
        <family val="0"/>
        <charset val="1"/>
      </rPr>
      <t xml:space="preserve">Hotmart </t>
    </r>
    <r>
      <rPr>
        <sz val="10"/>
        <color rgb="FF000000"/>
        <rFont val="Noto Sans CJK KR"/>
        <family val="2"/>
      </rPr>
      <t xml:space="preserve">플랫폼 수수료</t>
    </r>
  </si>
  <si>
    <r>
      <rPr>
        <i val="true"/>
        <sz val="9"/>
        <color rgb="FF666666"/>
        <rFont val="Arial"/>
        <family val="0"/>
        <charset val="1"/>
      </rPr>
      <t xml:space="preserve">9.9% — SOLO·loveTWO </t>
    </r>
    <r>
      <rPr>
        <i val="true"/>
        <sz val="9"/>
        <color rgb="FF666666"/>
        <rFont val="Noto Sans CJK KR"/>
        <family val="2"/>
      </rPr>
      <t xml:space="preserve">파트너 채널</t>
    </r>
  </si>
  <si>
    <r>
      <rPr>
        <sz val="10"/>
        <color rgb="FF000000"/>
        <rFont val="Arial"/>
        <family val="0"/>
        <charset val="1"/>
      </rPr>
      <t xml:space="preserve">DB </t>
    </r>
    <r>
      <rPr>
        <sz val="10"/>
        <color rgb="FF000000"/>
        <rFont val="Noto Sans CJK KR"/>
        <family val="2"/>
      </rPr>
      <t xml:space="preserve">연간 성장률</t>
    </r>
  </si>
  <si>
    <r>
      <rPr>
        <i val="true"/>
        <sz val="9"/>
        <color rgb="FF666666"/>
        <rFont val="Arial"/>
        <family val="0"/>
        <charset val="1"/>
      </rPr>
      <t xml:space="preserve">70% </t>
    </r>
    <r>
      <rPr>
        <i val="true"/>
        <sz val="9"/>
        <color rgb="FF666666"/>
        <rFont val="Noto Sans CJK KR"/>
        <family val="2"/>
      </rPr>
      <t xml:space="preserve">성장 </t>
    </r>
    <r>
      <rPr>
        <i val="true"/>
        <sz val="9"/>
        <color rgb="FF666666"/>
        <rFont val="Arial"/>
        <family val="0"/>
        <charset val="1"/>
      </rPr>
      <t xml:space="preserve">(</t>
    </r>
    <r>
      <rPr>
        <i val="true"/>
        <sz val="9"/>
        <color rgb="FF666666"/>
        <rFont val="Noto Sans CJK KR"/>
        <family val="2"/>
      </rPr>
      <t xml:space="preserve">검사도구 바이럴</t>
    </r>
    <r>
      <rPr>
        <i val="true"/>
        <sz val="9"/>
        <color rgb="FF666666"/>
        <rFont val="Arial"/>
        <family val="0"/>
        <charset val="1"/>
      </rPr>
      <t xml:space="preserve">)</t>
    </r>
  </si>
  <si>
    <t xml:space="preserve">연간 가격 인상률</t>
  </si>
  <si>
    <r>
      <rPr>
        <i val="true"/>
        <sz val="9"/>
        <color rgb="FF666666"/>
        <rFont val="Noto Sans CJK KR"/>
        <family val="2"/>
      </rPr>
      <t xml:space="preserve">매년 </t>
    </r>
    <r>
      <rPr>
        <i val="true"/>
        <sz val="9"/>
        <color rgb="FF666666"/>
        <rFont val="Arial"/>
        <family val="0"/>
        <charset val="1"/>
      </rPr>
      <t xml:space="preserve">5% </t>
    </r>
    <r>
      <rPr>
        <i val="true"/>
        <sz val="9"/>
        <color rgb="FF666666"/>
        <rFont val="Noto Sans CJK KR"/>
        <family val="2"/>
      </rPr>
      <t xml:space="preserve">인상</t>
    </r>
  </si>
  <si>
    <r>
      <rPr>
        <sz val="10"/>
        <color rgb="FF000000"/>
        <rFont val="Noto Sans CJK KR"/>
        <family val="2"/>
      </rPr>
      <t xml:space="preserve">이메일→</t>
    </r>
    <r>
      <rPr>
        <sz val="10"/>
        <color rgb="FF000000"/>
        <rFont val="Arial"/>
        <family val="0"/>
        <charset val="1"/>
      </rPr>
      <t xml:space="preserve">loveTWO </t>
    </r>
    <r>
      <rPr>
        <sz val="10"/>
        <color rgb="FF000000"/>
        <rFont val="Noto Sans CJK KR"/>
        <family val="2"/>
      </rPr>
      <t xml:space="preserve">월 전환율</t>
    </r>
  </si>
  <si>
    <r>
      <rPr>
        <i val="true"/>
        <sz val="9"/>
        <color rgb="FF666666"/>
        <rFont val="Noto Sans CJK KR"/>
        <family val="2"/>
      </rPr>
      <t xml:space="preserve">월 </t>
    </r>
    <r>
      <rPr>
        <i val="true"/>
        <sz val="9"/>
        <color rgb="FF666666"/>
        <rFont val="Arial"/>
        <family val="0"/>
        <charset val="1"/>
      </rPr>
      <t xml:space="preserve">6%, </t>
    </r>
    <r>
      <rPr>
        <i val="true"/>
        <sz val="9"/>
        <color rgb="FF666666"/>
        <rFont val="Noto Sans CJK KR"/>
        <family val="2"/>
      </rPr>
      <t xml:space="preserve">연 </t>
    </r>
    <r>
      <rPr>
        <i val="true"/>
        <sz val="9"/>
        <color rgb="FF666666"/>
        <rFont val="Arial"/>
        <family val="0"/>
        <charset val="1"/>
      </rPr>
      <t xml:space="preserve">72% </t>
    </r>
    <r>
      <rPr>
        <i val="true"/>
        <sz val="9"/>
        <color rgb="FF666666"/>
        <rFont val="Noto Sans CJK KR"/>
        <family val="2"/>
      </rPr>
      <t xml:space="preserve">중복 제거</t>
    </r>
  </si>
  <si>
    <t xml:space="preserve">연간 전환율 개선률</t>
  </si>
  <si>
    <r>
      <rPr>
        <i val="true"/>
        <sz val="9"/>
        <color rgb="FF666666"/>
        <rFont val="Noto Sans CJK KR"/>
        <family val="2"/>
      </rPr>
      <t xml:space="preserve">퍼널 최적화로 매년 </t>
    </r>
    <r>
      <rPr>
        <i val="true"/>
        <sz val="9"/>
        <color rgb="FF666666"/>
        <rFont val="Arial"/>
        <family val="0"/>
        <charset val="1"/>
      </rPr>
      <t xml:space="preserve">3% </t>
    </r>
    <r>
      <rPr>
        <i val="true"/>
        <sz val="9"/>
        <color rgb="FF666666"/>
        <rFont val="Noto Sans CJK KR"/>
        <family val="2"/>
      </rPr>
      <t xml:space="preserve">향상</t>
    </r>
  </si>
  <si>
    <r>
      <rPr>
        <sz val="10"/>
        <color rgb="FF000000"/>
        <rFont val="Noto Sans CJK KR"/>
        <family val="2"/>
      </rPr>
      <t xml:space="preserve">앱 바이럴 </t>
    </r>
    <r>
      <rPr>
        <sz val="10"/>
        <color rgb="FF000000"/>
        <rFont val="Arial"/>
        <family val="0"/>
        <charset val="1"/>
      </rPr>
      <t xml:space="preserve">K-factor (</t>
    </r>
    <r>
      <rPr>
        <sz val="10"/>
        <color rgb="FF000000"/>
        <rFont val="Noto Sans CJK KR"/>
        <family val="2"/>
      </rPr>
      <t xml:space="preserve">커플 공유</t>
    </r>
    <r>
      <rPr>
        <sz val="10"/>
        <color rgb="FF000000"/>
        <rFont val="Arial"/>
        <family val="0"/>
        <charset val="1"/>
      </rPr>
      <t xml:space="preserve">)</t>
    </r>
  </si>
  <si>
    <r>
      <rPr>
        <i val="true"/>
        <sz val="9"/>
        <color rgb="FF666666"/>
        <rFont val="Arial"/>
        <family val="0"/>
        <charset val="1"/>
      </rPr>
      <t xml:space="preserve">1</t>
    </r>
    <r>
      <rPr>
        <i val="true"/>
        <sz val="9"/>
        <color rgb="FF666666"/>
        <rFont val="Noto Sans CJK KR"/>
        <family val="2"/>
      </rPr>
      <t xml:space="preserve">쌍이 평균 </t>
    </r>
    <r>
      <rPr>
        <i val="true"/>
        <sz val="9"/>
        <color rgb="FF666666"/>
        <rFont val="Arial"/>
        <family val="0"/>
        <charset val="1"/>
      </rPr>
      <t xml:space="preserve">1.4</t>
    </r>
    <r>
      <rPr>
        <i val="true"/>
        <sz val="9"/>
        <color rgb="FF666666"/>
        <rFont val="Noto Sans CJK KR"/>
        <family val="2"/>
      </rPr>
      <t xml:space="preserve">쌍 공유</t>
    </r>
  </si>
  <si>
    <r>
      <rPr>
        <sz val="10"/>
        <color rgb="FF000000"/>
        <rFont val="Arial"/>
        <family val="0"/>
        <charset val="1"/>
      </rPr>
      <t xml:space="preserve">loveTWO</t>
    </r>
    <r>
      <rPr>
        <sz val="10"/>
        <color rgb="FF000000"/>
        <rFont val="Noto Sans CJK KR"/>
        <family val="2"/>
      </rPr>
      <t xml:space="preserve">용 </t>
    </r>
    <r>
      <rPr>
        <sz val="10"/>
        <color rgb="FF000000"/>
        <rFont val="Arial"/>
        <family val="0"/>
        <charset val="1"/>
      </rPr>
      <t xml:space="preserve">Hotmart </t>
    </r>
    <r>
      <rPr>
        <sz val="10"/>
        <color rgb="FF000000"/>
        <rFont val="Noto Sans CJK KR"/>
        <family val="2"/>
      </rPr>
      <t xml:space="preserve">파트너 참여율</t>
    </r>
  </si>
  <si>
    <r>
      <rPr>
        <i val="true"/>
        <sz val="9"/>
        <color rgb="FF666666"/>
        <rFont val="Arial"/>
        <family val="0"/>
        <charset val="1"/>
      </rPr>
      <t xml:space="preserve">SOLO </t>
    </r>
    <r>
      <rPr>
        <i val="true"/>
        <sz val="9"/>
        <color rgb="FF666666"/>
        <rFont val="Noto Sans CJK KR"/>
        <family val="2"/>
      </rPr>
      <t xml:space="preserve">파트너의 </t>
    </r>
    <r>
      <rPr>
        <i val="true"/>
        <sz val="9"/>
        <color rgb="FF666666"/>
        <rFont val="Arial"/>
        <family val="0"/>
        <charset val="1"/>
      </rPr>
      <t xml:space="preserve">50%</t>
    </r>
    <r>
      <rPr>
        <i val="true"/>
        <sz val="9"/>
        <color rgb="FF666666"/>
        <rFont val="Noto Sans CJK KR"/>
        <family val="2"/>
      </rPr>
      <t xml:space="preserve">가 </t>
    </r>
    <r>
      <rPr>
        <i val="true"/>
        <sz val="9"/>
        <color rgb="FF666666"/>
        <rFont val="Arial"/>
        <family val="0"/>
        <charset val="1"/>
      </rPr>
      <t xml:space="preserve">loveTWO</t>
    </r>
    <r>
      <rPr>
        <i val="true"/>
        <sz val="9"/>
        <color rgb="FF666666"/>
        <rFont val="Noto Sans CJK KR"/>
        <family val="2"/>
      </rPr>
      <t xml:space="preserve">도 판매</t>
    </r>
  </si>
  <si>
    <r>
      <rPr>
        <b val="true"/>
        <sz val="10"/>
        <color rgb="FFFFFFFF"/>
        <rFont val="Arial"/>
        <family val="0"/>
        <charset val="1"/>
      </rPr>
      <t xml:space="preserve">② SOLO — Hotmart </t>
    </r>
    <r>
      <rPr>
        <b val="true"/>
        <sz val="10"/>
        <color rgb="FFFFFFFF"/>
        <rFont val="Noto Sans CJK KR"/>
        <family val="2"/>
      </rPr>
      <t xml:space="preserve">파트너 </t>
    </r>
    <r>
      <rPr>
        <b val="true"/>
        <sz val="10"/>
        <color rgb="FFFFFFFF"/>
        <rFont val="Arial"/>
        <family val="0"/>
        <charset val="1"/>
      </rPr>
      <t xml:space="preserve">(2026~ </t>
    </r>
    <r>
      <rPr>
        <b val="true"/>
        <sz val="10"/>
        <color rgb="FFFFFFFF"/>
        <rFont val="Noto Sans CJK KR"/>
        <family val="2"/>
      </rPr>
      <t xml:space="preserve">풀가동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</si>
  <si>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loveTWO </t>
    </r>
    <r>
      <rPr>
        <sz val="10"/>
        <color rgb="FF000000"/>
        <rFont val="Noto Sans CJK KR"/>
        <family val="2"/>
      </rPr>
      <t xml:space="preserve">파트너 인당 월 판매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KR"/>
        <family val="2"/>
      </rPr>
      <t xml:space="preserve">기본</t>
    </r>
    <r>
      <rPr>
        <sz val="10"/>
        <color rgb="FF000000"/>
        <rFont val="Arial"/>
        <family val="0"/>
        <charset val="1"/>
      </rPr>
      <t xml:space="preserve">)</t>
    </r>
  </si>
  <si>
    <r>
      <rPr>
        <i val="true"/>
        <sz val="9"/>
        <color rgb="FF666666"/>
        <rFont val="Noto Sans CJK KR"/>
        <family val="2"/>
      </rPr>
      <t xml:space="preserve">커플 특성상 </t>
    </r>
    <r>
      <rPr>
        <i val="true"/>
        <sz val="9"/>
        <color rgb="FF666666"/>
        <rFont val="Arial"/>
        <family val="0"/>
        <charset val="1"/>
      </rPr>
      <t xml:space="preserve">SOLO</t>
    </r>
    <r>
      <rPr>
        <i val="true"/>
        <sz val="9"/>
        <color rgb="FF666666"/>
        <rFont val="Noto Sans CJK KR"/>
        <family val="2"/>
      </rPr>
      <t xml:space="preserve">보다 낮음</t>
    </r>
  </si>
  <si>
    <r>
      <rPr>
        <sz val="10"/>
        <color rgb="FF000000"/>
        <rFont val="Noto Sans CJK KR"/>
        <family val="2"/>
      </rPr>
      <t xml:space="preserve">기본 커플 리포트 </t>
    </r>
    <r>
      <rPr>
        <sz val="10"/>
        <color rgb="FF000000"/>
        <rFont val="Arial"/>
        <family val="0"/>
        <charset val="1"/>
      </rPr>
      <t xml:space="preserve">USD</t>
    </r>
  </si>
  <si>
    <r>
      <rPr>
        <sz val="10"/>
        <color rgb="FF000000"/>
        <rFont val="Noto Sans CJK KR"/>
        <family val="2"/>
      </rPr>
      <t xml:space="preserve">초기 파트너 수 </t>
    </r>
    <r>
      <rPr>
        <sz val="10"/>
        <color rgb="FF000000"/>
        <rFont val="Arial"/>
        <family val="0"/>
        <charset val="1"/>
      </rPr>
      <t xml:space="preserve">(2026</t>
    </r>
    <r>
      <rPr>
        <sz val="10"/>
        <color rgb="FF000000"/>
        <rFont val="Noto Sans CJK KR"/>
        <family val="2"/>
      </rPr>
      <t xml:space="preserve">년초</t>
    </r>
    <r>
      <rPr>
        <sz val="10"/>
        <color rgb="FF000000"/>
        <rFont val="Arial"/>
        <family val="0"/>
        <charset val="1"/>
      </rPr>
      <t xml:space="preserve">)</t>
    </r>
  </si>
  <si>
    <r>
      <rPr>
        <i val="true"/>
        <sz val="9"/>
        <color rgb="FF666666"/>
        <rFont val="Arial"/>
        <family val="0"/>
        <charset val="1"/>
      </rPr>
      <t xml:space="preserve">Hotmart </t>
    </r>
    <r>
      <rPr>
        <i val="true"/>
        <sz val="9"/>
        <color rgb="FF666666"/>
        <rFont val="Noto Sans CJK KR"/>
        <family val="2"/>
      </rPr>
      <t xml:space="preserve">남미 자기계발 어필리에이트 풀</t>
    </r>
  </si>
  <si>
    <r>
      <rPr>
        <sz val="10"/>
        <color rgb="FF000000"/>
        <rFont val="Noto Sans CJK KR"/>
        <family val="2"/>
      </rPr>
      <t xml:space="preserve">심화 번들 </t>
    </r>
    <r>
      <rPr>
        <sz val="10"/>
        <color rgb="FF000000"/>
        <rFont val="Arial"/>
        <family val="0"/>
        <charset val="1"/>
      </rPr>
      <t xml:space="preserve">USD</t>
    </r>
  </si>
  <si>
    <t xml:space="preserve">파트너 연 순증가율</t>
  </si>
  <si>
    <r>
      <rPr>
        <i val="true"/>
        <sz val="9"/>
        <color rgb="FF666666"/>
        <rFont val="Noto Sans CJK KR"/>
        <family val="2"/>
      </rPr>
      <t xml:space="preserve">연 </t>
    </r>
    <r>
      <rPr>
        <i val="true"/>
        <sz val="9"/>
        <color rgb="FF666666"/>
        <rFont val="Arial"/>
        <family val="0"/>
        <charset val="1"/>
      </rPr>
      <t xml:space="preserve">150% </t>
    </r>
    <r>
      <rPr>
        <i val="true"/>
        <sz val="9"/>
        <color rgb="FF666666"/>
        <rFont val="Noto Sans CJK KR"/>
        <family val="2"/>
      </rPr>
      <t xml:space="preserve">증가 </t>
    </r>
    <r>
      <rPr>
        <i val="true"/>
        <sz val="9"/>
        <color rgb="FF666666"/>
        <rFont val="Arial"/>
        <family val="0"/>
        <charset val="1"/>
      </rPr>
      <t xml:space="preserve">(Hotmart </t>
    </r>
    <r>
      <rPr>
        <i val="true"/>
        <sz val="9"/>
        <color rgb="FF666666"/>
        <rFont val="Noto Sans CJK KR"/>
        <family val="2"/>
      </rPr>
      <t xml:space="preserve">히트상품 벤치마크</t>
    </r>
    <r>
      <rPr>
        <i val="true"/>
        <sz val="9"/>
        <color rgb="FF666666"/>
        <rFont val="Arial"/>
        <family val="0"/>
        <charset val="1"/>
      </rPr>
      <t xml:space="preserve">)</t>
    </r>
  </si>
  <si>
    <t xml:space="preserve">기본 선택 비율</t>
  </si>
  <si>
    <t xml:space="preserve">파트너 연 이탈률</t>
  </si>
  <si>
    <t xml:space="preserve">검증된 자기계발 콘텐츠 → 이탈 낮음</t>
  </si>
  <si>
    <t xml:space="preserve">심화 선택 비율</t>
  </si>
  <si>
    <t xml:space="preserve">파트너 활성화율</t>
  </si>
  <si>
    <t xml:space="preserve">활성 파트너 비율</t>
  </si>
  <si>
    <r>
      <rPr>
        <sz val="10"/>
        <color rgb="FF000000"/>
        <rFont val="Noto Sans CJK KR"/>
        <family val="2"/>
      </rPr>
      <t xml:space="preserve">파트너 커미션 </t>
    </r>
    <r>
      <rPr>
        <sz val="10"/>
        <color rgb="FF000000"/>
        <rFont val="Arial"/>
        <family val="0"/>
        <charset val="1"/>
      </rPr>
      <t xml:space="preserve">(loveTWO)</t>
    </r>
  </si>
  <si>
    <r>
      <rPr>
        <i val="true"/>
        <sz val="9"/>
        <color rgb="FF666666"/>
        <rFont val="Arial"/>
        <family val="0"/>
        <charset val="1"/>
      </rPr>
      <t xml:space="preserve">SOLO</t>
    </r>
    <r>
      <rPr>
        <i val="true"/>
        <sz val="9"/>
        <color rgb="FF666666"/>
        <rFont val="Noto Sans CJK KR"/>
        <family val="2"/>
      </rPr>
      <t xml:space="preserve">보다 </t>
    </r>
    <r>
      <rPr>
        <i val="true"/>
        <sz val="9"/>
        <color rgb="FF666666"/>
        <rFont val="Arial"/>
        <family val="0"/>
        <charset val="1"/>
      </rPr>
      <t xml:space="preserve">5% </t>
    </r>
    <r>
      <rPr>
        <i val="true"/>
        <sz val="9"/>
        <color rgb="FF666666"/>
        <rFont val="Noto Sans CJK KR"/>
        <family val="2"/>
      </rPr>
      <t xml:space="preserve">높게 설정</t>
    </r>
  </si>
  <si>
    <r>
      <rPr>
        <sz val="10"/>
        <color rgb="FF000000"/>
        <rFont val="Noto Sans CJK KR"/>
        <family val="2"/>
      </rPr>
      <t xml:space="preserve">상위 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KR"/>
        <family val="2"/>
      </rPr>
      <t xml:space="preserve">파트너 인당 월 </t>
    </r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KR"/>
        <family val="2"/>
      </rPr>
      <t xml:space="preserve">판매</t>
    </r>
  </si>
  <si>
    <r>
      <rPr>
        <i val="true"/>
        <sz val="9"/>
        <color rgb="FF666666"/>
        <rFont val="Noto Sans CJK KR"/>
        <family val="2"/>
      </rPr>
      <t xml:space="preserve">남미 인플루언서형 파트너 </t>
    </r>
    <r>
      <rPr>
        <i val="true"/>
        <sz val="9"/>
        <color rgb="FF666666"/>
        <rFont val="Arial"/>
        <family val="0"/>
        <charset val="1"/>
      </rPr>
      <t xml:space="preserve">(</t>
    </r>
    <r>
      <rPr>
        <i val="true"/>
        <sz val="9"/>
        <color rgb="FF666666"/>
        <rFont val="Noto Sans CJK KR"/>
        <family val="2"/>
      </rPr>
      <t xml:space="preserve">파레토 상위</t>
    </r>
    <r>
      <rPr>
        <i val="true"/>
        <sz val="9"/>
        <color rgb="FF666666"/>
        <rFont val="Arial"/>
        <family val="0"/>
        <charset val="1"/>
      </rPr>
      <t xml:space="preserve">)</t>
    </r>
  </si>
  <si>
    <t xml:space="preserve">직판 오너 마진</t>
  </si>
  <si>
    <r>
      <rPr>
        <i val="true"/>
        <sz val="9"/>
        <color rgb="FF666666"/>
        <rFont val="Noto Sans CJK KR"/>
        <family val="2"/>
      </rPr>
      <t xml:space="preserve">이메일 직판</t>
    </r>
    <r>
      <rPr>
        <i val="true"/>
        <sz val="9"/>
        <color rgb="FF666666"/>
        <rFont val="Arial"/>
        <family val="0"/>
        <charset val="1"/>
      </rPr>
      <t xml:space="preserve">, Hotmart </t>
    </r>
    <r>
      <rPr>
        <i val="true"/>
        <sz val="9"/>
        <color rgb="FF666666"/>
        <rFont val="Noto Sans CJK KR"/>
        <family val="2"/>
      </rPr>
      <t xml:space="preserve">미통과</t>
    </r>
  </si>
  <si>
    <r>
      <rPr>
        <sz val="10"/>
        <color rgb="FF000000"/>
        <rFont val="Noto Sans CJK KR"/>
        <family val="2"/>
      </rPr>
      <t xml:space="preserve">중위 </t>
    </r>
    <r>
      <rPr>
        <sz val="10"/>
        <color rgb="FF000000"/>
        <rFont val="Arial"/>
        <family val="0"/>
        <charset val="1"/>
      </rPr>
      <t xml:space="preserve">60% </t>
    </r>
    <r>
      <rPr>
        <sz val="10"/>
        <color rgb="FF000000"/>
        <rFont val="Noto Sans CJK KR"/>
        <family val="2"/>
      </rPr>
      <t xml:space="preserve">파트너 인당 월 </t>
    </r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KR"/>
        <family val="2"/>
      </rPr>
      <t xml:space="preserve">판매</t>
    </r>
  </si>
  <si>
    <r>
      <rPr>
        <sz val="10"/>
        <color rgb="FF000000"/>
        <rFont val="Noto Sans CJK KR"/>
        <family val="2"/>
      </rPr>
      <t xml:space="preserve">월 광고비 </t>
    </r>
    <r>
      <rPr>
        <sz val="10"/>
        <color rgb="FF000000"/>
        <rFont val="Arial"/>
        <family val="0"/>
        <charset val="1"/>
      </rPr>
      <t xml:space="preserve">USD</t>
    </r>
  </si>
  <si>
    <r>
      <rPr>
        <i val="true"/>
        <sz val="9"/>
        <color rgb="FF666666"/>
        <rFont val="Arial"/>
        <family val="0"/>
        <charset val="1"/>
      </rPr>
      <t xml:space="preserve">SNS </t>
    </r>
    <r>
      <rPr>
        <i val="true"/>
        <sz val="9"/>
        <color rgb="FF666666"/>
        <rFont val="Noto Sans CJK KR"/>
        <family val="2"/>
      </rPr>
      <t xml:space="preserve">광고</t>
    </r>
  </si>
  <si>
    <r>
      <rPr>
        <sz val="10"/>
        <color rgb="FF000000"/>
        <rFont val="Noto Sans CJK KR"/>
        <family val="2"/>
      </rPr>
      <t xml:space="preserve">하위 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KR"/>
        <family val="2"/>
      </rPr>
      <t xml:space="preserve">파트너 인당 월 </t>
    </r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KR"/>
        <family val="2"/>
      </rPr>
      <t xml:space="preserve">판매</t>
    </r>
  </si>
  <si>
    <r>
      <rPr>
        <sz val="10"/>
        <color rgb="FF000000"/>
        <rFont val="Arial"/>
        <family val="0"/>
        <charset val="1"/>
      </rPr>
      <t xml:space="preserve">T1 USD </t>
    </r>
    <r>
      <rPr>
        <sz val="10"/>
        <color rgb="FF000000"/>
        <rFont val="Noto Sans CJK KR"/>
        <family val="2"/>
      </rPr>
      <t xml:space="preserve">가격</t>
    </r>
  </si>
  <si>
    <r>
      <rPr>
        <b val="true"/>
        <sz val="10"/>
        <color rgb="FFFFFFFF"/>
        <rFont val="Arial"/>
        <family val="0"/>
        <charset val="1"/>
      </rPr>
      <t xml:space="preserve">④ TEAM — </t>
    </r>
    <r>
      <rPr>
        <b val="true"/>
        <sz val="10"/>
        <color rgb="FFFFFFFF"/>
        <rFont val="Noto Sans CJK KR"/>
        <family val="2"/>
      </rPr>
      <t xml:space="preserve">온라인 코칭 플랫폼 파트너 제휴 </t>
    </r>
    <r>
      <rPr>
        <b val="true"/>
        <sz val="10"/>
        <color rgb="FFFFFFFF"/>
        <rFont val="Arial"/>
        <family val="0"/>
        <charset val="1"/>
      </rPr>
      <t xml:space="preserve">(2028~ </t>
    </r>
    <r>
      <rPr>
        <b val="true"/>
        <sz val="10"/>
        <color rgb="FFFFFFFF"/>
        <rFont val="Noto Sans CJK KR"/>
        <family val="2"/>
      </rPr>
      <t xml:space="preserve">런칭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</si>
  <si>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T2 Deep OTO USD </t>
    </r>
    <r>
      <rPr>
        <sz val="10"/>
        <color rgb="FF000000"/>
        <rFont val="Noto Sans CJK KR"/>
        <family val="2"/>
      </rPr>
      <t xml:space="preserve">가격</t>
    </r>
  </si>
  <si>
    <r>
      <rPr>
        <sz val="10"/>
        <color rgb="FF000000"/>
        <rFont val="Arial"/>
        <family val="0"/>
        <charset val="1"/>
      </rPr>
      <t xml:space="preserve">T3 Master </t>
    </r>
    <r>
      <rPr>
        <sz val="10"/>
        <color rgb="FF000000"/>
        <rFont val="Noto Sans CJK KR"/>
        <family val="2"/>
      </rPr>
      <t xml:space="preserve">업셀 </t>
    </r>
    <r>
      <rPr>
        <sz val="10"/>
        <color rgb="FF000000"/>
        <rFont val="Arial"/>
        <family val="0"/>
        <charset val="1"/>
      </rPr>
      <t xml:space="preserve">USD </t>
    </r>
    <r>
      <rPr>
        <sz val="10"/>
        <color rgb="FF000000"/>
        <rFont val="Noto Sans CJK KR"/>
        <family val="2"/>
      </rPr>
      <t xml:space="preserve">가격</t>
    </r>
  </si>
  <si>
    <r>
      <rPr>
        <sz val="10"/>
        <color rgb="FF000000"/>
        <rFont val="Noto Sans CJK KR"/>
        <family val="2"/>
      </rPr>
      <t xml:space="preserve">기본 팀 진단 </t>
    </r>
    <r>
      <rPr>
        <sz val="10"/>
        <color rgb="FF000000"/>
        <rFont val="Arial"/>
        <family val="0"/>
        <charset val="1"/>
      </rPr>
      <t xml:space="preserve">USD (</t>
    </r>
    <r>
      <rPr>
        <sz val="10"/>
        <color rgb="FF000000"/>
        <rFont val="Noto Sans CJK KR"/>
        <family val="2"/>
      </rPr>
      <t xml:space="preserve">팀당</t>
    </r>
    <r>
      <rPr>
        <sz val="10"/>
        <color rgb="FF000000"/>
        <rFont val="Arial"/>
        <family val="0"/>
        <charset val="1"/>
      </rPr>
      <t xml:space="preserve">)</t>
    </r>
  </si>
  <si>
    <r>
      <rPr>
        <i val="true"/>
        <sz val="9"/>
        <color rgb="FF666666"/>
        <rFont val="Noto Sans CJK KR"/>
        <family val="2"/>
      </rPr>
      <t xml:space="preserve">온라인 보고서 </t>
    </r>
    <r>
      <rPr>
        <i val="true"/>
        <sz val="9"/>
        <color rgb="FF666666"/>
        <rFont val="Arial"/>
        <family val="0"/>
        <charset val="1"/>
      </rPr>
      <t xml:space="preserve">+ </t>
    </r>
    <r>
      <rPr>
        <i val="true"/>
        <sz val="9"/>
        <color rgb="FF666666"/>
        <rFont val="Noto Sans CJK KR"/>
        <family val="2"/>
      </rPr>
      <t xml:space="preserve">결과 세션</t>
    </r>
  </si>
  <si>
    <r>
      <rPr>
        <sz val="10"/>
        <color rgb="FF000000"/>
        <rFont val="Noto Sans CJK KR"/>
        <family val="2"/>
      </rPr>
      <t xml:space="preserve">부록 </t>
    </r>
    <r>
      <rPr>
        <sz val="10"/>
        <color rgb="FF000000"/>
        <rFont val="Arial"/>
        <family val="0"/>
        <charset val="1"/>
      </rPr>
      <t xml:space="preserve">A/B/C </t>
    </r>
    <r>
      <rPr>
        <sz val="10"/>
        <color rgb="FF000000"/>
        <rFont val="Noto Sans CJK KR"/>
        <family val="2"/>
      </rPr>
      <t xml:space="preserve">각 </t>
    </r>
    <r>
      <rPr>
        <sz val="10"/>
        <color rgb="FF000000"/>
        <rFont val="Arial"/>
        <family val="0"/>
        <charset val="1"/>
      </rPr>
      <t xml:space="preserve">USD </t>
    </r>
    <r>
      <rPr>
        <sz val="10"/>
        <color rgb="FF000000"/>
        <rFont val="Noto Sans CJK KR"/>
        <family val="2"/>
      </rPr>
      <t xml:space="preserve">가격</t>
    </r>
  </si>
  <si>
    <r>
      <rPr>
        <sz val="10"/>
        <color rgb="FF000000"/>
        <rFont val="Noto Sans CJK KR"/>
        <family val="2"/>
      </rPr>
      <t xml:space="preserve">코칭 패키지 </t>
    </r>
    <r>
      <rPr>
        <sz val="10"/>
        <color rgb="FF000000"/>
        <rFont val="Arial"/>
        <family val="0"/>
        <charset val="1"/>
      </rPr>
      <t xml:space="preserve">USD (</t>
    </r>
    <r>
      <rPr>
        <sz val="10"/>
        <color rgb="FF000000"/>
        <rFont val="Noto Sans CJK KR"/>
        <family val="2"/>
      </rPr>
      <t xml:space="preserve">팀당</t>
    </r>
    <r>
      <rPr>
        <sz val="10"/>
        <color rgb="FF000000"/>
        <rFont val="Arial"/>
        <family val="0"/>
        <charset val="1"/>
      </rPr>
      <t xml:space="preserve">)</t>
    </r>
  </si>
  <si>
    <r>
      <rPr>
        <i val="true"/>
        <sz val="9"/>
        <color rgb="FF666666"/>
        <rFont val="Noto Sans CJK KR"/>
        <family val="2"/>
      </rPr>
      <t xml:space="preserve">비대면 코치 세션 </t>
    </r>
    <r>
      <rPr>
        <i val="true"/>
        <sz val="9"/>
        <color rgb="FF666666"/>
        <rFont val="Arial"/>
        <family val="0"/>
        <charset val="1"/>
      </rPr>
      <t xml:space="preserve">3</t>
    </r>
    <r>
      <rPr>
        <i val="true"/>
        <sz val="9"/>
        <color rgb="FF666666"/>
        <rFont val="Noto Sans CJK KR"/>
        <family val="2"/>
      </rPr>
      <t xml:space="preserve">회 포함</t>
    </r>
  </si>
  <si>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KR"/>
        <family val="2"/>
      </rPr>
      <t xml:space="preserve">파트너 커미션</t>
    </r>
  </si>
  <si>
    <r>
      <rPr>
        <sz val="10"/>
        <color rgb="FF000000"/>
        <rFont val="Noto Sans CJK KR"/>
        <family val="2"/>
      </rPr>
      <t xml:space="preserve">연간 멤버십 </t>
    </r>
    <r>
      <rPr>
        <sz val="10"/>
        <color rgb="FF000000"/>
        <rFont val="Arial"/>
        <family val="0"/>
        <charset val="1"/>
      </rPr>
      <t xml:space="preserve">USD (</t>
    </r>
    <r>
      <rPr>
        <sz val="10"/>
        <color rgb="FF000000"/>
        <rFont val="Noto Sans CJK KR"/>
        <family val="2"/>
      </rPr>
      <t xml:space="preserve">팀당</t>
    </r>
    <r>
      <rPr>
        <sz val="10"/>
        <color rgb="FF000000"/>
        <rFont val="Arial"/>
        <family val="0"/>
        <charset val="1"/>
      </rPr>
      <t xml:space="preserve">)</t>
    </r>
  </si>
  <si>
    <r>
      <rPr>
        <i val="true"/>
        <sz val="9"/>
        <color rgb="FF666666"/>
        <rFont val="Noto Sans CJK KR"/>
        <family val="2"/>
      </rPr>
      <t xml:space="preserve">지속 측정 </t>
    </r>
    <r>
      <rPr>
        <i val="true"/>
        <sz val="9"/>
        <color rgb="FF666666"/>
        <rFont val="Arial"/>
        <family val="0"/>
        <charset val="1"/>
      </rPr>
      <t xml:space="preserve">+ </t>
    </r>
    <r>
      <rPr>
        <i val="true"/>
        <sz val="9"/>
        <color rgb="FF666666"/>
        <rFont val="Noto Sans CJK KR"/>
        <family val="2"/>
      </rPr>
      <t xml:space="preserve">코치 채팅</t>
    </r>
  </si>
  <si>
    <r>
      <rPr>
        <sz val="10"/>
        <color rgb="FF000000"/>
        <rFont val="Arial"/>
        <family val="0"/>
        <charset val="1"/>
      </rPr>
      <t xml:space="preserve">T2 </t>
    </r>
    <r>
      <rPr>
        <sz val="10"/>
        <color rgb="FF000000"/>
        <rFont val="Noto Sans CJK KR"/>
        <family val="2"/>
      </rPr>
      <t xml:space="preserve">파트너 커미션</t>
    </r>
  </si>
  <si>
    <r>
      <rPr>
        <sz val="10"/>
        <color rgb="FF000000"/>
        <rFont val="Noto Sans CJK KR"/>
        <family val="2"/>
      </rPr>
      <t xml:space="preserve">제휴 코칭 플랫폼 파트너 수 </t>
    </r>
    <r>
      <rPr>
        <sz val="10"/>
        <color rgb="FF000000"/>
        <rFont val="Arial"/>
        <family val="0"/>
        <charset val="1"/>
      </rPr>
      <t xml:space="preserve">(2028</t>
    </r>
    <r>
      <rPr>
        <sz val="10"/>
        <color rgb="FF000000"/>
        <rFont val="Noto Sans CJK KR"/>
        <family val="2"/>
      </rPr>
      <t xml:space="preserve">초</t>
    </r>
    <r>
      <rPr>
        <sz val="10"/>
        <color rgb="FF000000"/>
        <rFont val="Arial"/>
        <family val="0"/>
        <charset val="1"/>
      </rPr>
      <t xml:space="preserve">)</t>
    </r>
  </si>
  <si>
    <r>
      <rPr>
        <i val="true"/>
        <sz val="9"/>
        <color rgb="FF666666"/>
        <rFont val="Noto Sans CJK KR"/>
        <family val="2"/>
      </rPr>
      <t xml:space="preserve">코치닷컴</t>
    </r>
    <r>
      <rPr>
        <i val="true"/>
        <sz val="9"/>
        <color rgb="FF666666"/>
        <rFont val="Arial"/>
        <family val="0"/>
        <charset val="1"/>
      </rPr>
      <t xml:space="preserve">, </t>
    </r>
    <r>
      <rPr>
        <i val="true"/>
        <sz val="9"/>
        <color rgb="FF666666"/>
        <rFont val="Noto Sans CJK KR"/>
        <family val="2"/>
      </rPr>
      <t xml:space="preserve">비즈니스코치 플랫폼 등</t>
    </r>
  </si>
  <si>
    <r>
      <rPr>
        <sz val="10"/>
        <color rgb="FF000000"/>
        <rFont val="Arial"/>
        <family val="0"/>
        <charset val="1"/>
      </rPr>
      <t xml:space="preserve">T3 </t>
    </r>
    <r>
      <rPr>
        <sz val="10"/>
        <color rgb="FF000000"/>
        <rFont val="Noto Sans CJK KR"/>
        <family val="2"/>
      </rPr>
      <t xml:space="preserve">파트너 커미션</t>
    </r>
  </si>
  <si>
    <t xml:space="preserve">플랫폼 파트너 연 성장률</t>
  </si>
  <si>
    <r>
      <rPr>
        <i val="true"/>
        <sz val="9"/>
        <color rgb="FF666666"/>
        <rFont val="Noto Sans CJK KR"/>
        <family val="2"/>
      </rPr>
      <t xml:space="preserve">레퍼런스 축적으로 연 </t>
    </r>
    <r>
      <rPr>
        <i val="true"/>
        <sz val="9"/>
        <color rgb="FF666666"/>
        <rFont val="Arial"/>
        <family val="0"/>
        <charset val="1"/>
      </rPr>
      <t xml:space="preserve">80% </t>
    </r>
    <r>
      <rPr>
        <i val="true"/>
        <sz val="9"/>
        <color rgb="FF666666"/>
        <rFont val="Noto Sans CJK KR"/>
        <family val="2"/>
      </rPr>
      <t xml:space="preserve">증가</t>
    </r>
  </si>
  <si>
    <t xml:space="preserve">부록 파트너 커미션</t>
  </si>
  <si>
    <r>
      <rPr>
        <sz val="10"/>
        <color rgb="FF000000"/>
        <rFont val="Noto Sans CJK KR"/>
        <family val="2"/>
      </rPr>
      <t xml:space="preserve">플랫폼 파트너 인당 연 계약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KR"/>
        <family val="2"/>
      </rPr>
      <t xml:space="preserve">건</t>
    </r>
    <r>
      <rPr>
        <sz val="10"/>
        <color rgb="FF000000"/>
        <rFont val="Arial"/>
        <family val="0"/>
        <charset val="1"/>
      </rPr>
      <t xml:space="preserve">)</t>
    </r>
  </si>
  <si>
    <r>
      <rPr>
        <i val="true"/>
        <sz val="9"/>
        <color rgb="FF666666"/>
        <rFont val="Noto Sans CJK KR"/>
        <family val="2"/>
      </rPr>
      <t xml:space="preserve">파트너 </t>
    </r>
    <r>
      <rPr>
        <i val="true"/>
        <sz val="9"/>
        <color rgb="FF666666"/>
        <rFont val="Arial"/>
        <family val="0"/>
        <charset val="1"/>
      </rPr>
      <t xml:space="preserve">1</t>
    </r>
    <r>
      <rPr>
        <i val="true"/>
        <sz val="9"/>
        <color rgb="FF666666"/>
        <rFont val="Noto Sans CJK KR"/>
        <family val="2"/>
      </rPr>
      <t xml:space="preserve">곳이 연 </t>
    </r>
    <r>
      <rPr>
        <i val="true"/>
        <sz val="9"/>
        <color rgb="FF666666"/>
        <rFont val="Arial"/>
        <family val="0"/>
        <charset val="1"/>
      </rPr>
      <t xml:space="preserve">4</t>
    </r>
    <r>
      <rPr>
        <i val="true"/>
        <sz val="9"/>
        <color rgb="FF666666"/>
        <rFont val="Noto Sans CJK KR"/>
        <family val="2"/>
      </rPr>
      <t xml:space="preserve">팀 소개</t>
    </r>
  </si>
  <si>
    <r>
      <rPr>
        <sz val="10"/>
        <color rgb="FF000000"/>
        <rFont val="Arial"/>
        <family val="0"/>
        <charset val="1"/>
      </rPr>
      <t xml:space="preserve">T1→T2 OTO </t>
    </r>
    <r>
      <rPr>
        <sz val="10"/>
        <color rgb="FF000000"/>
        <rFont val="Noto Sans CJK KR"/>
        <family val="2"/>
      </rPr>
      <t xml:space="preserve">전환율</t>
    </r>
  </si>
  <si>
    <t xml:space="preserve">즉시팝업</t>
  </si>
  <si>
    <t xml:space="preserve">기본진단 선택 비율</t>
  </si>
  <si>
    <r>
      <rPr>
        <sz val="10"/>
        <color rgb="FF000000"/>
        <rFont val="Arial"/>
        <family val="0"/>
        <charset val="1"/>
      </rPr>
      <t xml:space="preserve">T1→T3 </t>
    </r>
    <r>
      <rPr>
        <sz val="10"/>
        <color rgb="FF000000"/>
        <rFont val="Noto Sans CJK KR"/>
        <family val="2"/>
      </rPr>
      <t xml:space="preserve">업셀 전환율</t>
    </r>
  </si>
  <si>
    <r>
      <rPr>
        <i val="true"/>
        <sz val="9"/>
        <color rgb="FF666666"/>
        <rFont val="Arial"/>
        <family val="0"/>
        <charset val="1"/>
      </rPr>
      <t xml:space="preserve">7</t>
    </r>
    <r>
      <rPr>
        <i val="true"/>
        <sz val="9"/>
        <color rgb="FF666666"/>
        <rFont val="Noto Sans CJK KR"/>
        <family val="2"/>
      </rPr>
      <t xml:space="preserve">일 이메일</t>
    </r>
  </si>
  <si>
    <t xml:space="preserve">코칭 패키지 선택 비율</t>
  </si>
  <si>
    <r>
      <rPr>
        <sz val="10"/>
        <color rgb="FF000000"/>
        <rFont val="Arial"/>
        <family val="0"/>
        <charset val="1"/>
      </rPr>
      <t xml:space="preserve">T1→</t>
    </r>
    <r>
      <rPr>
        <sz val="10"/>
        <color rgb="FF000000"/>
        <rFont val="Noto Sans CJK KR"/>
        <family val="2"/>
      </rPr>
      <t xml:space="preserve">부록 구매율</t>
    </r>
  </si>
  <si>
    <t xml:space="preserve">연간 멤버십 선택 비율</t>
  </si>
  <si>
    <r>
      <rPr>
        <sz val="10"/>
        <color rgb="FF000000"/>
        <rFont val="Noto Sans CJK KR"/>
        <family val="2"/>
      </rPr>
      <t xml:space="preserve">파트너 커미션 </t>
    </r>
    <r>
      <rPr>
        <sz val="10"/>
        <color rgb="FF000000"/>
        <rFont val="Arial"/>
        <family val="0"/>
        <charset val="1"/>
      </rPr>
      <t xml:space="preserve">(TEAM)</t>
    </r>
  </si>
  <si>
    <t xml:space="preserve">플랫폼 제휴 수수료</t>
  </si>
  <si>
    <r>
      <rPr>
        <sz val="10"/>
        <color rgb="FF000000"/>
        <rFont val="Noto Sans CJK KR"/>
        <family val="2"/>
      </rPr>
      <t xml:space="preserve">준비기간 파일럿 계약 수 </t>
    </r>
    <r>
      <rPr>
        <sz val="10"/>
        <color rgb="FF000000"/>
        <rFont val="Arial"/>
        <family val="0"/>
        <charset val="1"/>
      </rPr>
      <t xml:space="preserve">(2026)</t>
    </r>
  </si>
  <si>
    <r>
      <rPr>
        <i val="true"/>
        <sz val="9"/>
        <color rgb="FF666666"/>
        <rFont val="Noto Sans CJK KR"/>
        <family val="2"/>
      </rPr>
      <t xml:space="preserve">케이스스터디용 무상</t>
    </r>
    <r>
      <rPr>
        <i val="true"/>
        <sz val="9"/>
        <color rgb="FF666666"/>
        <rFont val="Arial"/>
        <family val="0"/>
        <charset val="1"/>
      </rPr>
      <t xml:space="preserve">/</t>
    </r>
    <r>
      <rPr>
        <i val="true"/>
        <sz val="9"/>
        <color rgb="FF666666"/>
        <rFont val="Noto Sans CJK KR"/>
        <family val="2"/>
      </rPr>
      <t xml:space="preserve">할인</t>
    </r>
  </si>
  <si>
    <r>
      <rPr>
        <sz val="10"/>
        <color rgb="FF000000"/>
        <rFont val="Noto Sans CJK KR"/>
        <family val="2"/>
      </rPr>
      <t xml:space="preserve">준비기간 파일럿 계약 수 </t>
    </r>
    <r>
      <rPr>
        <sz val="10"/>
        <color rgb="FF000000"/>
        <rFont val="Arial"/>
        <family val="0"/>
        <charset val="1"/>
      </rPr>
      <t xml:space="preserve">(2027)</t>
    </r>
  </si>
  <si>
    <r>
      <rPr>
        <i val="true"/>
        <sz val="9"/>
        <color rgb="FF666666"/>
        <rFont val="Noto Sans CJK KR"/>
        <family val="2"/>
      </rPr>
      <t xml:space="preserve">논문</t>
    </r>
    <r>
      <rPr>
        <i val="true"/>
        <sz val="9"/>
        <color rgb="FF666666"/>
        <rFont val="Arial"/>
        <family val="0"/>
        <charset val="1"/>
      </rPr>
      <t xml:space="preserve">·</t>
    </r>
    <r>
      <rPr>
        <i val="true"/>
        <sz val="9"/>
        <color rgb="FF666666"/>
        <rFont val="Noto Sans CJK KR"/>
        <family val="2"/>
      </rPr>
      <t xml:space="preserve">백서 완성 후 유료 파일럿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</si>
</sst>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(#,##0\);\-"/>
    <numFmt numFmtId="166" formatCode="0.0%;\(0.0%\);\-"/>
    <numFmt numFmtId="167" formatCode="0.00"/>
    <numFmt numFmtId="168" formatCode="\$#,##0.00"/>
  </numFmts>
  <fonts count="5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4"/>
      <color rgb="FFFFFFFF"/>
      <name val="Noto Sans CJK KR"/>
      <family val="2"/>
    </font>
    <font>
      <i val="true"/>
      <sz val="9"/>
      <color rgb="FF1A2030"/>
      <name val="Arial"/>
      <family val="0"/>
      <charset val="1"/>
    </font>
    <font>
      <i val="true"/>
      <sz val="9"/>
      <color rgb="FF1A2030"/>
      <name val="Noto Sans CJK KR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KR"/>
      <family val="2"/>
    </font>
    <font>
      <b val="true"/>
      <sz val="11"/>
      <color rgb="FFFFFFFF"/>
      <name val="Noto Sans CJK KR"/>
      <family val="2"/>
    </font>
    <font>
      <b val="true"/>
      <sz val="11"/>
      <color rgb="FFFFFFFF"/>
      <name val="Arial"/>
      <family val="0"/>
      <charset val="1"/>
    </font>
    <font>
      <b val="true"/>
      <sz val="10"/>
      <color rgb="FF1E3F6E"/>
      <name val="Arial"/>
      <family val="0"/>
      <charset val="1"/>
    </font>
    <font>
      <b val="true"/>
      <sz val="10"/>
      <color rgb="FF1E3F6E"/>
      <name val="Noto Sans CJK KR"/>
      <family val="2"/>
    </font>
    <font>
      <sz val="10"/>
      <color rgb="FF005C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7B3200"/>
      <name val="Arial"/>
      <family val="0"/>
      <charset val="1"/>
    </font>
    <font>
      <b val="true"/>
      <sz val="10"/>
      <color rgb="FF7B3200"/>
      <name val="Noto Sans CJK KR"/>
      <family val="2"/>
    </font>
    <font>
      <b val="true"/>
      <sz val="10"/>
      <color rgb="FF145214"/>
      <name val="Arial"/>
      <family val="0"/>
      <charset val="1"/>
    </font>
    <font>
      <b val="true"/>
      <sz val="10"/>
      <color rgb="FF145214"/>
      <name val="Noto Sans CJK KR"/>
      <family val="2"/>
    </font>
    <font>
      <b val="true"/>
      <sz val="11"/>
      <color rgb="FF1A2030"/>
      <name val="Arial"/>
      <family val="0"/>
      <charset val="1"/>
    </font>
    <font>
      <b val="true"/>
      <sz val="10"/>
      <color rgb="FF000000"/>
      <name val="Noto Sans CJK KR"/>
      <family val="2"/>
    </font>
    <font>
      <b val="true"/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i val="true"/>
      <sz val="9"/>
      <color rgb="FF666666"/>
      <name val="Noto Sans CJK KR"/>
      <family val="2"/>
    </font>
    <font>
      <i val="true"/>
      <sz val="9"/>
      <color rgb="FF666666"/>
      <name val="Arial"/>
      <family val="0"/>
      <charset val="1"/>
    </font>
    <font>
      <b val="true"/>
      <sz val="10"/>
      <color rgb="FF1A2030"/>
      <name val="Noto Sans CJK KR"/>
      <family val="2"/>
    </font>
    <font>
      <b val="true"/>
      <sz val="10"/>
      <color rgb="FF1A2030"/>
      <name val="Arial"/>
      <family val="0"/>
      <charset val="1"/>
    </font>
    <font>
      <sz val="10"/>
      <color rgb="FF000000"/>
      <name val="Noto Sans CJK KR"/>
      <family val="2"/>
    </font>
    <font>
      <sz val="9"/>
      <color rgb="FF000000"/>
      <name val="Arial"/>
      <family val="0"/>
      <charset val="1"/>
    </font>
    <font>
      <sz val="9"/>
      <color rgb="FF000000"/>
      <name val="Noto Sans CJK KR"/>
      <family val="2"/>
    </font>
    <font>
      <i val="true"/>
      <sz val="9"/>
      <color rgb="FF888888"/>
      <name val="Noto Sans CJK KR"/>
      <family val="2"/>
    </font>
    <font>
      <i val="true"/>
      <sz val="9"/>
      <color rgb="FF888888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3"/>
      <color rgb="FFFFFFFF"/>
      <name val="Noto Sans CJK KR"/>
      <family val="2"/>
    </font>
    <font>
      <i val="true"/>
      <sz val="9"/>
      <color rgb="FF145214"/>
      <name val="Noto Sans CJK KR"/>
      <family val="2"/>
    </font>
    <font>
      <i val="true"/>
      <sz val="9"/>
      <color rgb="FF145214"/>
      <name val="Arial"/>
      <family val="0"/>
      <charset val="1"/>
    </font>
    <font>
      <sz val="9"/>
      <color rgb="FF1A2030"/>
      <name val="Noto Sans CJK KR"/>
      <family val="2"/>
    </font>
    <font>
      <b val="true"/>
      <sz val="9"/>
      <color rgb="FF145214"/>
      <name val="Noto Sans CJK KR"/>
      <family val="2"/>
    </font>
    <font>
      <b val="true"/>
      <sz val="9"/>
      <color rgb="FF145214"/>
      <name val="Arial"/>
      <family val="0"/>
      <charset val="1"/>
    </font>
    <font>
      <i val="true"/>
      <sz val="9"/>
      <color rgb="FF7B3200"/>
      <name val="Arial"/>
      <family val="0"/>
      <charset val="1"/>
    </font>
    <font>
      <i val="true"/>
      <sz val="9"/>
      <color rgb="FF7B3200"/>
      <name val="Noto Sans CJK KR"/>
      <family val="2"/>
    </font>
    <font>
      <sz val="9"/>
      <color rgb="FF1A2030"/>
      <name val="Arial"/>
      <family val="0"/>
      <charset val="1"/>
    </font>
    <font>
      <b val="true"/>
      <sz val="9"/>
      <color rgb="FF7B3200"/>
      <name val="Noto Sans CJK KR"/>
      <family val="2"/>
    </font>
    <font>
      <b val="true"/>
      <sz val="9"/>
      <color rgb="FF7B3200"/>
      <name val="Arial"/>
      <family val="0"/>
      <charset val="1"/>
    </font>
    <font>
      <sz val="10"/>
      <color rgb="FFCC0000"/>
      <name val="Noto Sans CJK KR"/>
      <family val="2"/>
    </font>
    <font>
      <sz val="10"/>
      <color rgb="FFCC0000"/>
      <name val="Arial"/>
      <family val="0"/>
      <charset val="1"/>
    </font>
    <font>
      <i val="true"/>
      <sz val="9"/>
      <color rgb="FF1E3F6E"/>
      <name val="Arial"/>
      <family val="0"/>
      <charset val="1"/>
    </font>
    <font>
      <i val="true"/>
      <sz val="9"/>
      <color rgb="FF1E3F6E"/>
      <name val="Noto Sans CJK KR"/>
      <family val="2"/>
    </font>
    <font>
      <sz val="10"/>
      <color rgb="FF0000FF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A2030"/>
        <bgColor rgb="FF333300"/>
      </patternFill>
    </fill>
    <fill>
      <patternFill patternType="solid">
        <fgColor rgb="FFF5E6A0"/>
        <bgColor rgb="FFFFCC99"/>
      </patternFill>
    </fill>
    <fill>
      <patternFill patternType="solid">
        <fgColor rgb="FFB8860B"/>
        <bgColor rgb="FFFF9900"/>
      </patternFill>
    </fill>
    <fill>
      <patternFill patternType="solid">
        <fgColor rgb="FFE4EAF6"/>
        <bgColor rgb="FFE4F4E4"/>
      </patternFill>
    </fill>
    <fill>
      <patternFill patternType="solid">
        <fgColor rgb="FFFFF0E0"/>
        <bgColor rgb="FFF4F6FB"/>
      </patternFill>
    </fill>
    <fill>
      <patternFill patternType="solid">
        <fgColor rgb="FFE4F4E4"/>
        <bgColor rgb="FFE4EAF6"/>
      </patternFill>
    </fill>
    <fill>
      <patternFill patternType="solid">
        <fgColor rgb="FFF4F6FB"/>
        <bgColor rgb="FFFFFFFF"/>
      </patternFill>
    </fill>
    <fill>
      <patternFill patternType="solid">
        <fgColor rgb="FFD0D5E8"/>
        <bgColor rgb="FFE4EAF6"/>
      </patternFill>
    </fill>
    <fill>
      <patternFill patternType="solid">
        <fgColor rgb="FF145214"/>
        <bgColor rgb="FF005C00"/>
      </patternFill>
    </fill>
    <fill>
      <patternFill patternType="solid">
        <fgColor rgb="FF7B3200"/>
        <bgColor rgb="FF993366"/>
      </patternFill>
    </fill>
    <fill>
      <patternFill patternType="solid">
        <fgColor rgb="FF1E3F6E"/>
        <bgColor rgb="FF333399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666666"/>
      </left>
      <right/>
      <top style="medium">
        <color rgb="FF666666"/>
      </top>
      <bottom style="medium">
        <color rgb="FF666666"/>
      </bottom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/>
      <top style="medium">
        <color rgb="FF666666"/>
      </top>
      <bottom style="medium">
        <color rgb="FF66666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0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3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7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2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1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5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2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2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5C00"/>
      <rgbColor rgb="FF000080"/>
      <rgbColor rgb="FFB8860B"/>
      <rgbColor rgb="FF800080"/>
      <rgbColor rgb="FF008080"/>
      <rgbColor rgb="FFC0C0C0"/>
      <rgbColor rgb="FF888888"/>
      <rgbColor rgb="FF9999FF"/>
      <rgbColor rgb="FF993366"/>
      <rgbColor rgb="FFFFF0E0"/>
      <rgbColor rgb="FFE4EAF6"/>
      <rgbColor rgb="FF660066"/>
      <rgbColor rgb="FFFF8080"/>
      <rgbColor rgb="FF0066CC"/>
      <rgbColor rgb="FFD0D5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6FB"/>
      <rgbColor rgb="FFE4F4E4"/>
      <rgbColor rgb="FFF5E6A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AAAAAA"/>
      <rgbColor rgb="FF1E3F6E"/>
      <rgbColor rgb="FF339966"/>
      <rgbColor rgb="FF145214"/>
      <rgbColor rgb="FF333300"/>
      <rgbColor rgb="FF7B3200"/>
      <rgbColor rgb="FF993366"/>
      <rgbColor rgb="FF333399"/>
      <rgbColor rgb="FF1A20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7" min="3" style="0" width="16"/>
    <col collapsed="false" customWidth="true" hidden="false" outlineLevel="0" max="8" min="8" style="0" width="20"/>
    <col collapsed="false" customWidth="true" hidden="false" outlineLevel="0" max="9" min="9" style="0" width="14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25.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</row>
    <row r="6" customFormat="false" ht="17.15" hidden="false" customHeight="false" outlineLevel="0" collapsed="false">
      <c r="B6" s="4" t="s">
        <v>3</v>
      </c>
      <c r="C6" s="5" t="s">
        <v>4</v>
      </c>
      <c r="D6" s="5" t="s">
        <v>5</v>
      </c>
      <c r="E6" s="5" t="s">
        <v>6</v>
      </c>
      <c r="F6" s="5" t="s">
        <v>7</v>
      </c>
      <c r="G6" s="5" t="s">
        <v>8</v>
      </c>
      <c r="H6" s="5" t="s">
        <v>9</v>
      </c>
      <c r="I6" s="4" t="s">
        <v>10</v>
      </c>
    </row>
    <row r="7" customFormat="false" ht="15" hidden="false" customHeight="false" outlineLevel="0" collapsed="false">
      <c r="B7" s="6" t="s">
        <v>11</v>
      </c>
      <c r="C7" s="7" t="n">
        <f aca="false">'② SOLO'!C22</f>
        <v>267914232</v>
      </c>
      <c r="D7" s="7" t="n">
        <f aca="false">'② SOLO'!D22</f>
        <v>625942999</v>
      </c>
      <c r="E7" s="7" t="n">
        <f aca="false">'② SOLO'!E22</f>
        <v>1473643709</v>
      </c>
      <c r="F7" s="7" t="n">
        <f aca="false">'② SOLO'!F22</f>
        <v>3473571683</v>
      </c>
      <c r="G7" s="7" t="n">
        <f aca="false">'② SOLO'!G22</f>
        <v>8168175223</v>
      </c>
      <c r="H7" s="7" t="n">
        <f aca="false">'② SOLO'!H22</f>
        <v>14009247846</v>
      </c>
      <c r="I7" s="8" t="n">
        <f aca="false">H7/H10</f>
        <v>0.709750841014612</v>
      </c>
    </row>
    <row r="8" customFormat="false" ht="15" hidden="false" customHeight="false" outlineLevel="0" collapsed="false">
      <c r="B8" s="9" t="s">
        <v>12</v>
      </c>
      <c r="C8" s="7" t="n">
        <f aca="false">'③ loveTWO'!C22</f>
        <v>0</v>
      </c>
      <c r="D8" s="7" t="n">
        <f aca="false">'③ loveTWO'!D22</f>
        <v>335166417</v>
      </c>
      <c r="E8" s="7" t="n">
        <f aca="false">'③ loveTWO'!E22</f>
        <v>690549490</v>
      </c>
      <c r="F8" s="7" t="n">
        <f aca="false">'③ loveTWO'!F22</f>
        <v>1439489689</v>
      </c>
      <c r="G8" s="7" t="n">
        <f aca="false">'③ loveTWO'!G22</f>
        <v>3041719262</v>
      </c>
      <c r="H8" s="7" t="n">
        <f aca="false">'③ loveTWO'!H22</f>
        <v>5506924858</v>
      </c>
      <c r="I8" s="8" t="n">
        <f aca="false">H8/H10</f>
        <v>0.278997458845427</v>
      </c>
    </row>
    <row r="9" customFormat="false" ht="15" hidden="false" customHeight="false" outlineLevel="0" collapsed="false">
      <c r="B9" s="10" t="s">
        <v>13</v>
      </c>
      <c r="C9" s="7" t="n">
        <f aca="false">'④ TEAM'!C17</f>
        <v>1609440</v>
      </c>
      <c r="D9" s="7" t="n">
        <f aca="false">'④ TEAM'!D17</f>
        <v>4506431</v>
      </c>
      <c r="E9" s="7" t="n">
        <f aca="false">'④ TEAM'!E17</f>
        <v>33270143</v>
      </c>
      <c r="F9" s="7" t="n">
        <f aca="false">'④ TEAM'!F17</f>
        <v>62880570</v>
      </c>
      <c r="G9" s="7" t="n">
        <f aca="false">'④ TEAM'!G17</f>
        <v>119822418</v>
      </c>
      <c r="H9" s="7" t="n">
        <f aca="false">'④ TEAM'!H17</f>
        <v>222089002</v>
      </c>
      <c r="I9" s="8" t="n">
        <f aca="false">H9/H10</f>
        <v>0.0112517001399617</v>
      </c>
    </row>
    <row r="10" customFormat="false" ht="15" hidden="false" customHeight="false" outlineLevel="0" collapsed="false">
      <c r="B10" s="11" t="s">
        <v>14</v>
      </c>
      <c r="C10" s="12" t="n">
        <f aca="false">SUM(C7,C8,C9)</f>
        <v>269523672</v>
      </c>
      <c r="D10" s="12" t="n">
        <f aca="false">SUM(D7,D8,D9)</f>
        <v>965615847</v>
      </c>
      <c r="E10" s="12" t="n">
        <f aca="false">SUM(E7,E8,E9)</f>
        <v>2197463342</v>
      </c>
      <c r="F10" s="12" t="n">
        <f aca="false">SUM(F7,F8,F9)</f>
        <v>4975941942</v>
      </c>
      <c r="G10" s="12" t="n">
        <f aca="false">SUM(G7,G8,G9)</f>
        <v>11329716903</v>
      </c>
      <c r="H10" s="12" t="n">
        <f aca="false">SUM(H7:H9)</f>
        <v>19738261706</v>
      </c>
      <c r="I10" s="8" t="n">
        <f aca="false">1</f>
        <v>1</v>
      </c>
    </row>
    <row r="12" customFormat="false" ht="15" hidden="false" customHeight="false" outlineLevel="0" collapsed="false">
      <c r="B12" s="13" t="s">
        <v>15</v>
      </c>
      <c r="C12" s="14" t="n">
        <f aca="false">ROUND(C10/12,0)</f>
        <v>22460306</v>
      </c>
      <c r="D12" s="14" t="n">
        <f aca="false">ROUND(D10/12,0)</f>
        <v>80467987</v>
      </c>
      <c r="E12" s="14" t="n">
        <f aca="false">ROUND(E10/12,0)</f>
        <v>183121945</v>
      </c>
      <c r="F12" s="14" t="n">
        <f aca="false">ROUND(F10/12,0)</f>
        <v>414661829</v>
      </c>
      <c r="G12" s="14" t="n">
        <f aca="false">ROUND(G10/12,0)</f>
        <v>944143075</v>
      </c>
      <c r="H12" s="15" t="s">
        <v>16</v>
      </c>
      <c r="I12" s="15"/>
    </row>
    <row r="14" customFormat="false" ht="15" hidden="false" customHeight="false" outlineLevel="0" collapsed="false">
      <c r="B14" s="16" t="s">
        <v>17</v>
      </c>
      <c r="C14" s="16"/>
      <c r="D14" s="16"/>
      <c r="E14" s="16"/>
      <c r="F14" s="16"/>
      <c r="G14" s="16"/>
      <c r="H14" s="16"/>
      <c r="I14" s="16"/>
    </row>
    <row r="15" customFormat="false" ht="15" hidden="false" customHeight="false" outlineLevel="0" collapsed="false">
      <c r="B15" s="17" t="s">
        <v>18</v>
      </c>
      <c r="C15" s="18" t="s">
        <v>4</v>
      </c>
      <c r="D15" s="18" t="s">
        <v>5</v>
      </c>
      <c r="E15" s="18" t="s">
        <v>6</v>
      </c>
      <c r="F15" s="18" t="s">
        <v>7</v>
      </c>
      <c r="G15" s="18" t="s">
        <v>8</v>
      </c>
      <c r="H15" s="17" t="s">
        <v>19</v>
      </c>
      <c r="I15" s="17"/>
    </row>
    <row r="16" customFormat="false" ht="15" hidden="false" customHeight="false" outlineLevel="0" collapsed="false">
      <c r="B16" s="19" t="s">
        <v>20</v>
      </c>
      <c r="C16" s="7" t="n">
        <f aca="false">'② SOLO'!C6</f>
        <v>200</v>
      </c>
      <c r="D16" s="7" t="n">
        <f aca="false">'② SOLO'!D6</f>
        <v>440</v>
      </c>
      <c r="E16" s="7" t="n">
        <f aca="false">'② SOLO'!E6</f>
        <v>968</v>
      </c>
      <c r="F16" s="7" t="n">
        <f aca="false">'② SOLO'!F6</f>
        <v>2130</v>
      </c>
      <c r="G16" s="7" t="n">
        <f aca="false">'② SOLO'!G6</f>
        <v>4686</v>
      </c>
      <c r="H16" s="20"/>
      <c r="I16" s="20"/>
    </row>
    <row r="17" customFormat="false" ht="15" hidden="false" customHeight="false" outlineLevel="0" collapsed="false">
      <c r="B17" s="19" t="s">
        <v>21</v>
      </c>
      <c r="C17" s="7" t="n">
        <f aca="false">'② SOLO'!C12</f>
        <v>22548</v>
      </c>
      <c r="D17" s="7" t="n">
        <f aca="false">'② SOLO'!D12</f>
        <v>49296</v>
      </c>
      <c r="E17" s="7" t="n">
        <f aca="false">'② SOLO'!E12</f>
        <v>108576</v>
      </c>
      <c r="F17" s="7" t="n">
        <f aca="false">'② SOLO'!F12</f>
        <v>239388</v>
      </c>
      <c r="G17" s="7" t="n">
        <f aca="false">'② SOLO'!G12</f>
        <v>526428</v>
      </c>
      <c r="H17" s="20"/>
      <c r="I17" s="20"/>
    </row>
    <row r="18" customFormat="false" ht="15" hidden="false" customHeight="false" outlineLevel="0" collapsed="false">
      <c r="B18" s="19" t="s">
        <v>22</v>
      </c>
      <c r="C18" s="7" t="n">
        <f aca="false">'③ loveTWO'!C8</f>
        <v>0</v>
      </c>
      <c r="D18" s="7" t="n">
        <f aca="false">'③ loveTWO'!D8</f>
        <v>8000</v>
      </c>
      <c r="E18" s="7" t="n">
        <f aca="false">'③ loveTWO'!E8</f>
        <v>13600</v>
      </c>
      <c r="F18" s="7" t="n">
        <f aca="false">'③ loveTWO'!F8</f>
        <v>23120</v>
      </c>
      <c r="G18" s="7" t="n">
        <f aca="false">'③ loveTWO'!G8</f>
        <v>39304</v>
      </c>
      <c r="H18" s="20"/>
      <c r="I18" s="20"/>
    </row>
    <row r="19" customFormat="false" ht="15" hidden="false" customHeight="false" outlineLevel="0" collapsed="false">
      <c r="B19" s="19" t="s">
        <v>23</v>
      </c>
      <c r="C19" s="7" t="n">
        <f aca="false">'③ loveTWO'!C11</f>
        <v>0</v>
      </c>
      <c r="D19" s="7" t="n">
        <f aca="false">'③ loveTWO'!D11</f>
        <v>8064</v>
      </c>
      <c r="E19" s="7" t="n">
        <f aca="false">'③ loveTWO'!E11</f>
        <v>13709</v>
      </c>
      <c r="F19" s="7" t="n">
        <f aca="false">'③ loveTWO'!F11</f>
        <v>23304</v>
      </c>
      <c r="G19" s="7" t="n">
        <f aca="false">'③ loveTWO'!G11</f>
        <v>39619</v>
      </c>
      <c r="H19" s="20"/>
      <c r="I19" s="20"/>
    </row>
    <row r="20" customFormat="false" ht="15" hidden="false" customHeight="false" outlineLevel="0" collapsed="false">
      <c r="B20" s="19" t="s">
        <v>24</v>
      </c>
      <c r="C20" s="7" t="n">
        <f aca="false">'③ loveTWO'!C14</f>
        <v>0</v>
      </c>
      <c r="D20" s="7" t="n">
        <f aca="false">'③ loveTWO'!D14</f>
        <v>159</v>
      </c>
      <c r="E20" s="7" t="n">
        <f aca="false">'③ loveTWO'!E14</f>
        <v>349</v>
      </c>
      <c r="F20" s="7" t="n">
        <f aca="false">'③ loveTWO'!F14</f>
        <v>767</v>
      </c>
      <c r="G20" s="7" t="n">
        <f aca="false">'③ loveTWO'!G14</f>
        <v>1687</v>
      </c>
      <c r="H20" s="20"/>
      <c r="I20" s="20"/>
    </row>
    <row r="21" customFormat="false" ht="15" hidden="false" customHeight="false" outlineLevel="0" collapsed="false">
      <c r="B21" s="19" t="s">
        <v>25</v>
      </c>
      <c r="C21" s="7" t="n">
        <f aca="false">'④ TEAM'!C8</f>
        <v>0</v>
      </c>
      <c r="D21" s="7" t="n">
        <f aca="false">'④ TEAM'!D8</f>
        <v>0</v>
      </c>
      <c r="E21" s="7" t="n">
        <f aca="false">'④ TEAM'!E8</f>
        <v>15</v>
      </c>
      <c r="F21" s="7" t="n">
        <f aca="false">'④ TEAM'!F8</f>
        <v>27</v>
      </c>
      <c r="G21" s="7" t="n">
        <f aca="false">'④ TEAM'!G8</f>
        <v>49</v>
      </c>
      <c r="H21" s="20"/>
      <c r="I21" s="20"/>
    </row>
    <row r="22" customFormat="false" ht="15" hidden="false" customHeight="false" outlineLevel="0" collapsed="false">
      <c r="B22" s="19" t="s">
        <v>26</v>
      </c>
      <c r="C22" s="7" t="n">
        <f aca="false">'④ TEAM'!C11</f>
        <v>3</v>
      </c>
      <c r="D22" s="7" t="n">
        <f aca="false">'④ TEAM'!D11</f>
        <v>8</v>
      </c>
      <c r="E22" s="7" t="n">
        <f aca="false">'④ TEAM'!E11</f>
        <v>60</v>
      </c>
      <c r="F22" s="7" t="n">
        <f aca="false">'④ TEAM'!F11</f>
        <v>108</v>
      </c>
      <c r="G22" s="7" t="n">
        <f aca="false">'④ TEAM'!G11</f>
        <v>196</v>
      </c>
      <c r="H22" s="20"/>
      <c r="I22" s="20"/>
    </row>
    <row r="25" customFormat="false" ht="15" hidden="false" customHeight="false" outlineLevel="0" collapsed="false">
      <c r="B25" s="16" t="s">
        <v>27</v>
      </c>
      <c r="C25" s="16"/>
      <c r="D25" s="16"/>
      <c r="E25" s="16"/>
      <c r="F25" s="16"/>
      <c r="G25" s="16"/>
      <c r="H25" s="16"/>
      <c r="I25" s="16"/>
    </row>
    <row r="26" customFormat="false" ht="15" hidden="false" customHeight="false" outlineLevel="0" collapsed="false">
      <c r="B26" s="17" t="s">
        <v>28</v>
      </c>
      <c r="C26" s="18" t="s">
        <v>29</v>
      </c>
      <c r="D26" s="18" t="s">
        <v>30</v>
      </c>
      <c r="E26" s="18" t="s">
        <v>31</v>
      </c>
      <c r="F26" s="17" t="s">
        <v>32</v>
      </c>
      <c r="G26" s="17"/>
      <c r="H26" s="17"/>
      <c r="I26" s="17"/>
    </row>
    <row r="27" customFormat="false" ht="37.5" hidden="false" customHeight="true" outlineLevel="0" collapsed="false">
      <c r="B27" s="21" t="s">
        <v>4</v>
      </c>
      <c r="C27" s="22" t="s">
        <v>33</v>
      </c>
      <c r="D27" s="23" t="s">
        <v>34</v>
      </c>
      <c r="E27" s="24" t="s">
        <v>35</v>
      </c>
      <c r="F27" s="25" t="s">
        <v>36</v>
      </c>
      <c r="G27" s="25"/>
      <c r="H27" s="25"/>
      <c r="I27" s="25"/>
    </row>
    <row r="28" customFormat="false" ht="37.5" hidden="false" customHeight="true" outlineLevel="0" collapsed="false">
      <c r="B28" s="21" t="s">
        <v>5</v>
      </c>
      <c r="C28" s="26" t="s">
        <v>37</v>
      </c>
      <c r="D28" s="23" t="s">
        <v>38</v>
      </c>
      <c r="E28" s="24" t="s">
        <v>39</v>
      </c>
      <c r="F28" s="25" t="s">
        <v>40</v>
      </c>
      <c r="G28" s="25"/>
      <c r="H28" s="25"/>
      <c r="I28" s="25"/>
    </row>
    <row r="29" customFormat="false" ht="37.5" hidden="false" customHeight="true" outlineLevel="0" collapsed="false">
      <c r="B29" s="21" t="s">
        <v>6</v>
      </c>
      <c r="C29" s="26" t="s">
        <v>41</v>
      </c>
      <c r="D29" s="23" t="s">
        <v>42</v>
      </c>
      <c r="E29" s="24" t="s">
        <v>43</v>
      </c>
      <c r="F29" s="25" t="s">
        <v>44</v>
      </c>
      <c r="G29" s="25"/>
      <c r="H29" s="25"/>
      <c r="I29" s="25"/>
    </row>
    <row r="30" customFormat="false" ht="37.5" hidden="false" customHeight="true" outlineLevel="0" collapsed="false">
      <c r="B30" s="21" t="s">
        <v>7</v>
      </c>
      <c r="C30" s="26" t="s">
        <v>45</v>
      </c>
      <c r="D30" s="23" t="s">
        <v>46</v>
      </c>
      <c r="E30" s="24" t="s">
        <v>47</v>
      </c>
      <c r="F30" s="25" t="s">
        <v>48</v>
      </c>
      <c r="G30" s="25"/>
      <c r="H30" s="25"/>
      <c r="I30" s="25"/>
    </row>
    <row r="31" customFormat="false" ht="37.5" hidden="false" customHeight="true" outlineLevel="0" collapsed="false">
      <c r="B31" s="21" t="s">
        <v>8</v>
      </c>
      <c r="C31" s="26" t="s">
        <v>49</v>
      </c>
      <c r="D31" s="23" t="s">
        <v>50</v>
      </c>
      <c r="E31" s="24" t="s">
        <v>51</v>
      </c>
      <c r="F31" s="27" t="s">
        <v>52</v>
      </c>
      <c r="G31" s="27"/>
      <c r="H31" s="27"/>
      <c r="I31" s="27"/>
    </row>
    <row r="33" customFormat="false" ht="14.15" hidden="false" customHeight="false" outlineLevel="0" collapsed="false">
      <c r="A33" s="28" t="s">
        <v>53</v>
      </c>
      <c r="B33" s="28"/>
      <c r="C33" s="28"/>
      <c r="D33" s="28"/>
      <c r="E33" s="28"/>
      <c r="F33" s="28"/>
      <c r="G33" s="28"/>
      <c r="H33" s="28"/>
      <c r="I33" s="28"/>
    </row>
  </sheetData>
  <mergeCells count="20">
    <mergeCell ref="A1:I1"/>
    <mergeCell ref="A2:I2"/>
    <mergeCell ref="A4:I4"/>
    <mergeCell ref="H12:I12"/>
    <mergeCell ref="B14:I14"/>
    <mergeCell ref="H16:I16"/>
    <mergeCell ref="H17:I17"/>
    <mergeCell ref="H18:I18"/>
    <mergeCell ref="H19:I19"/>
    <mergeCell ref="H20:I20"/>
    <mergeCell ref="H21:I21"/>
    <mergeCell ref="H22:I22"/>
    <mergeCell ref="B25:I25"/>
    <mergeCell ref="F26:I26"/>
    <mergeCell ref="F27:I27"/>
    <mergeCell ref="F28:I28"/>
    <mergeCell ref="F29:I29"/>
    <mergeCell ref="F30:I30"/>
    <mergeCell ref="F31:I31"/>
    <mergeCell ref="A33:I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7" min="3" style="0" width="15"/>
    <col collapsed="false" customWidth="true" hidden="false" outlineLevel="0" max="8" min="8" style="0" width="18"/>
    <col collapsed="false" customWidth="true" hidden="false" outlineLevel="0" max="9" min="9" style="0" width="13"/>
    <col collapsed="false" customWidth="true" hidden="false" outlineLevel="0" max="10" min="10" style="0" width="36"/>
  </cols>
  <sheetData>
    <row r="1" customFormat="false" ht="36" hidden="false" customHeight="true" outlineLevel="0" collapsed="false">
      <c r="A1" s="29" t="s">
        <v>54</v>
      </c>
      <c r="B1" s="29"/>
      <c r="C1" s="29"/>
      <c r="D1" s="29"/>
      <c r="E1" s="29"/>
      <c r="F1" s="29"/>
      <c r="G1" s="29"/>
      <c r="H1" s="29"/>
      <c r="I1" s="29"/>
      <c r="J1" s="29"/>
    </row>
    <row r="2" customFormat="false" ht="18" hidden="false" customHeight="true" outlineLevel="0" collapsed="false">
      <c r="A2" s="30" t="s">
        <v>55</v>
      </c>
      <c r="B2" s="30"/>
      <c r="C2" s="30"/>
      <c r="D2" s="30"/>
      <c r="E2" s="30"/>
      <c r="F2" s="30"/>
      <c r="G2" s="30"/>
      <c r="H2" s="30"/>
      <c r="I2" s="30"/>
      <c r="J2" s="30"/>
    </row>
    <row r="4" customFormat="false" ht="15" hidden="false" customHeight="false" outlineLevel="0" collapsed="false">
      <c r="B4" s="31" t="s">
        <v>56</v>
      </c>
      <c r="C4" s="32" t="s">
        <v>4</v>
      </c>
      <c r="D4" s="32" t="s">
        <v>5</v>
      </c>
      <c r="E4" s="32" t="s">
        <v>6</v>
      </c>
      <c r="F4" s="32" t="s">
        <v>7</v>
      </c>
      <c r="G4" s="32" t="s">
        <v>8</v>
      </c>
      <c r="H4" s="32" t="s">
        <v>57</v>
      </c>
      <c r="I4" s="31" t="s">
        <v>58</v>
      </c>
      <c r="J4" s="31" t="s">
        <v>19</v>
      </c>
    </row>
    <row r="5" customFormat="false" ht="15" hidden="false" customHeight="false" outlineLevel="0" collapsed="false">
      <c r="B5" s="33" t="s">
        <v>59</v>
      </c>
      <c r="C5" s="34" t="s">
        <v>60</v>
      </c>
      <c r="D5" s="34" t="s">
        <v>61</v>
      </c>
      <c r="E5" s="35" t="s">
        <v>62</v>
      </c>
      <c r="F5" s="34" t="s">
        <v>63</v>
      </c>
      <c r="G5" s="34" t="s">
        <v>64</v>
      </c>
      <c r="H5" s="36"/>
      <c r="I5" s="36"/>
      <c r="J5" s="36"/>
    </row>
    <row r="7" customFormat="false" ht="15" hidden="false" customHeight="false" outlineLevel="0" collapsed="false">
      <c r="B7" s="37" t="s">
        <v>65</v>
      </c>
      <c r="C7" s="37"/>
      <c r="D7" s="37"/>
      <c r="E7" s="37"/>
      <c r="F7" s="37"/>
      <c r="G7" s="37"/>
      <c r="H7" s="37"/>
      <c r="I7" s="37"/>
      <c r="J7" s="37"/>
    </row>
    <row r="8" customFormat="false" ht="15" hidden="false" customHeight="false" outlineLevel="0" collapsed="false">
      <c r="B8" s="38" t="s">
        <v>66</v>
      </c>
      <c r="C8" s="39" t="n">
        <v>0</v>
      </c>
      <c r="D8" s="39" t="n">
        <v>0</v>
      </c>
      <c r="E8" s="7" t="n">
        <f aca="false">'① 가정'!G25</f>
        <v>15</v>
      </c>
      <c r="F8" s="39" t="n">
        <f aca="false">ROUND(E8*(1+'① 가정'!G26),0)</f>
        <v>27</v>
      </c>
      <c r="G8" s="39" t="n">
        <f aca="false">ROUND(F8*(1+'① 가정'!G26),0)</f>
        <v>49</v>
      </c>
      <c r="H8" s="39" t="n">
        <f aca="false">G8</f>
        <v>49</v>
      </c>
      <c r="I8" s="40" t="s">
        <v>67</v>
      </c>
      <c r="J8" s="41" t="s">
        <v>68</v>
      </c>
    </row>
    <row r="9" customFormat="false" ht="15" hidden="false" customHeight="false" outlineLevel="0" collapsed="false">
      <c r="B9" s="38" t="s">
        <v>69</v>
      </c>
      <c r="C9" s="39" t="n">
        <f aca="false">ROUND(C8*'① 가정'!G27,0)</f>
        <v>0</v>
      </c>
      <c r="D9" s="39" t="n">
        <f aca="false">ROUND(D8*'① 가정'!G27,0)</f>
        <v>0</v>
      </c>
      <c r="E9" s="39" t="n">
        <f aca="false">ROUND(E8*'① 가정'!G27,0)</f>
        <v>60</v>
      </c>
      <c r="F9" s="39" t="n">
        <f aca="false">ROUND(F8*'① 가정'!G27,0)</f>
        <v>108</v>
      </c>
      <c r="G9" s="39" t="n">
        <f aca="false">ROUND(G8*'① 가정'!G27,0)</f>
        <v>196</v>
      </c>
      <c r="H9" s="39" t="n">
        <f aca="false">SUM(C9:G9)</f>
        <v>364</v>
      </c>
      <c r="I9" s="40" t="s">
        <v>70</v>
      </c>
    </row>
    <row r="10" customFormat="false" ht="15" hidden="false" customHeight="false" outlineLevel="0" collapsed="false">
      <c r="B10" s="38" t="s">
        <v>71</v>
      </c>
      <c r="C10" s="7" t="n">
        <f aca="false">'① 가정'!G32</f>
        <v>3</v>
      </c>
      <c r="D10" s="7" t="n">
        <f aca="false">'① 가정'!G33</f>
        <v>8</v>
      </c>
      <c r="E10" s="39" t="n">
        <v>0</v>
      </c>
      <c r="F10" s="39" t="n">
        <v>0</v>
      </c>
      <c r="G10" s="39" t="n">
        <v>0</v>
      </c>
      <c r="H10" s="39" t="n">
        <f aca="false">SUM(C10:G10)</f>
        <v>11</v>
      </c>
      <c r="I10" s="40" t="s">
        <v>70</v>
      </c>
      <c r="J10" s="42" t="s">
        <v>72</v>
      </c>
    </row>
    <row r="11" customFormat="false" ht="15" hidden="false" customHeight="false" outlineLevel="0" collapsed="false">
      <c r="B11" s="13" t="s">
        <v>73</v>
      </c>
      <c r="C11" s="43" t="n">
        <f aca="false">C9+C10</f>
        <v>3</v>
      </c>
      <c r="D11" s="43" t="n">
        <f aca="false">D9+D10</f>
        <v>8</v>
      </c>
      <c r="E11" s="43" t="n">
        <f aca="false">E9+E10</f>
        <v>60</v>
      </c>
      <c r="F11" s="43" t="n">
        <f aca="false">F9+F10</f>
        <v>108</v>
      </c>
      <c r="G11" s="43" t="n">
        <f aca="false">G9+G10</f>
        <v>196</v>
      </c>
      <c r="H11" s="43" t="n">
        <f aca="false">SUM(C11:G11)</f>
        <v>375</v>
      </c>
      <c r="I11" s="40" t="s">
        <v>70</v>
      </c>
    </row>
    <row r="13" customFormat="false" ht="15" hidden="false" customHeight="false" outlineLevel="0" collapsed="false">
      <c r="B13" s="44" t="s">
        <v>74</v>
      </c>
      <c r="C13" s="44"/>
      <c r="D13" s="44"/>
      <c r="E13" s="44"/>
      <c r="F13" s="44"/>
      <c r="G13" s="44"/>
      <c r="H13" s="44"/>
      <c r="I13" s="44"/>
      <c r="J13" s="44"/>
    </row>
    <row r="14" customFormat="false" ht="15" hidden="false" customHeight="false" outlineLevel="0" collapsed="false">
      <c r="B14" s="38" t="s">
        <v>75</v>
      </c>
      <c r="C14" s="39" t="n">
        <f aca="false">ROUND((C9*(1-'① 가정'!G31)+C10*0.8)*'① 가정'!G28*'① 가정'!G22*(1+'① 가정'!C8)^0*'① 가정'!C6,0)</f>
        <v>452088</v>
      </c>
      <c r="D14" s="39" t="n">
        <f aca="false">ROUND((D9*(1-'① 가정'!G31)+D10*0.8)*'① 가정'!G28*'① 가정'!G22*(1+'① 가정'!C8)^1*'① 가정'!C6,0)</f>
        <v>1265846</v>
      </c>
      <c r="E14" s="39" t="n">
        <f aca="false">ROUND((E9*(1-'① 가정'!G31)+E10*0.8)*'① 가정'!G28*'① 가정'!G22*(1+'① 가정'!C8)^2*'① 가정'!C6,0)</f>
        <v>9345507</v>
      </c>
      <c r="F14" s="39" t="n">
        <f aca="false">ROUND((F9*(1-'① 가정'!G31)+F10*0.8)*'① 가정'!G28*'① 가정'!G22*(1+'① 가정'!C8)^3*'① 가정'!C6,0)</f>
        <v>17663008</v>
      </c>
      <c r="G14" s="39" t="n">
        <f aca="false">ROUND((G9*(1-'① 가정'!G31)+G10*0.8)*'① 가정'!G28*'① 가정'!G22*(1+'① 가정'!C8)^4*'① 가정'!C6,0)</f>
        <v>33657842</v>
      </c>
      <c r="H14" s="39" t="n">
        <f aca="false">SUM(C14:G14)</f>
        <v>62384291</v>
      </c>
      <c r="I14" s="45" t="s">
        <v>76</v>
      </c>
    </row>
    <row r="15" customFormat="false" ht="15" hidden="false" customHeight="false" outlineLevel="0" collapsed="false">
      <c r="B15" s="38" t="s">
        <v>77</v>
      </c>
      <c r="C15" s="39" t="n">
        <f aca="false">ROUND((C9*(1-'① 가정'!G31)+C10*0.8)*'① 가정'!G29*'① 가정'!G23*(1+'① 가정'!C8)^0*'① 가정'!C6,0)</f>
        <v>822024</v>
      </c>
      <c r="D15" s="39" t="n">
        <f aca="false">ROUND((D9*(1-'① 가정'!G31)+D10*0.8)*'① 가정'!G29*'① 가정'!G23*(1+'① 가정'!C8)^1*'① 가정'!C6,0)</f>
        <v>2301667</v>
      </c>
      <c r="E15" s="39" t="n">
        <f aca="false">ROUND((E9*(1-'① 가정'!G31)+E10*0.8)*'① 가정'!G29*'① 가정'!G23*(1+'① 가정'!C8)^2*'① 가정'!C6,0)</f>
        <v>16992777</v>
      </c>
      <c r="F15" s="39" t="n">
        <f aca="false">ROUND((F9*(1-'① 가정'!G31)+F10*0.8)*'① 가정'!G29*'① 가정'!G23*(1+'① 가정'!C8)^3*'① 가정'!C6,0)</f>
        <v>32116349</v>
      </c>
      <c r="G15" s="39" t="n">
        <f aca="false">ROUND((G9*(1-'① 가정'!G31)+G10*0.8)*'① 가정'!G29*'① 가정'!G23*(1+'① 가정'!C8)^4*'① 가정'!C6,0)</f>
        <v>61199488</v>
      </c>
      <c r="H15" s="39" t="n">
        <f aca="false">SUM(C15:G15)</f>
        <v>113432305</v>
      </c>
      <c r="I15" s="45" t="s">
        <v>76</v>
      </c>
    </row>
    <row r="16" customFormat="false" ht="15" hidden="false" customHeight="false" outlineLevel="0" collapsed="false">
      <c r="B16" s="38" t="s">
        <v>78</v>
      </c>
      <c r="C16" s="39" t="n">
        <f aca="false">ROUND((C9*(1-'① 가정'!G31)+C10*0.8)*'① 가정'!G30*'① 가정'!G24*(1+'① 가정'!C8)^0*'① 가정'!C6,0)</f>
        <v>335328</v>
      </c>
      <c r="D16" s="39" t="n">
        <f aca="false">ROUND((D9*(1-'① 가정'!G31)+D10*0.8)*'① 가정'!G30*'① 가정'!G24*(1+'① 가정'!C8)^1*'① 가정'!C6,0)</f>
        <v>938918</v>
      </c>
      <c r="E16" s="39" t="n">
        <f aca="false">ROUND((E9*(1-'① 가정'!G31)+E10*0.8)*'① 가정'!G30*'① 가정'!G24*(1+'① 가정'!C8)^2*'① 가정'!C6,0)</f>
        <v>6931859</v>
      </c>
      <c r="F16" s="39" t="n">
        <f aca="false">ROUND((F9*(1-'① 가정'!G31)+F10*0.8)*'① 가정'!G30*'① 가정'!G24*(1+'① 가정'!C8)^3*'① 가정'!C6,0)</f>
        <v>13101213</v>
      </c>
      <c r="G16" s="39" t="n">
        <f aca="false">ROUND((G9*(1-'① 가정'!G31)+G10*0.8)*'① 가정'!G30*'① 가정'!G24*(1+'① 가정'!C8)^4*'① 가정'!C6,0)</f>
        <v>24965088</v>
      </c>
      <c r="H16" s="39" t="n">
        <f aca="false">SUM(C16:G16)</f>
        <v>46272406</v>
      </c>
      <c r="I16" s="45" t="s">
        <v>76</v>
      </c>
    </row>
    <row r="17" customFormat="false" ht="15" hidden="false" customHeight="false" outlineLevel="0" collapsed="false">
      <c r="B17" s="46" t="s">
        <v>79</v>
      </c>
      <c r="C17" s="47" t="n">
        <f aca="false">C14+C15+C16</f>
        <v>1609440</v>
      </c>
      <c r="D17" s="47" t="n">
        <f aca="false">D14+D15+D16</f>
        <v>4506431</v>
      </c>
      <c r="E17" s="47" t="n">
        <f aca="false">E14+E15+E16</f>
        <v>33270143</v>
      </c>
      <c r="F17" s="47" t="n">
        <f aca="false">F14+F15+F16</f>
        <v>62880570</v>
      </c>
      <c r="G17" s="47" t="n">
        <f aca="false">G14+G15+G16</f>
        <v>119822418</v>
      </c>
      <c r="H17" s="47" t="n">
        <f aca="false">SUM(C17:G17)</f>
        <v>222089002</v>
      </c>
      <c r="I17" s="48" t="s">
        <v>76</v>
      </c>
    </row>
  </sheetData>
  <mergeCells count="4">
    <mergeCell ref="A1:J1"/>
    <mergeCell ref="A2:J2"/>
    <mergeCell ref="B7:J7"/>
    <mergeCell ref="B13:J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7" min="3" style="0" width="15"/>
    <col collapsed="false" customWidth="true" hidden="false" outlineLevel="0" max="8" min="8" style="0" width="18"/>
    <col collapsed="false" customWidth="true" hidden="false" outlineLevel="0" max="9" min="9" style="0" width="13"/>
    <col collapsed="false" customWidth="true" hidden="false" outlineLevel="0" max="10" min="10" style="0" width="34"/>
  </cols>
  <sheetData>
    <row r="1" customFormat="false" ht="36" hidden="false" customHeight="true" outlineLevel="0" collapsed="false">
      <c r="A1" s="49" t="s">
        <v>80</v>
      </c>
      <c r="B1" s="49"/>
      <c r="C1" s="49"/>
      <c r="D1" s="49"/>
      <c r="E1" s="49"/>
      <c r="F1" s="49"/>
      <c r="G1" s="49"/>
      <c r="H1" s="49"/>
      <c r="I1" s="49"/>
      <c r="J1" s="49"/>
    </row>
    <row r="2" customFormat="false" ht="18" hidden="false" customHeight="true" outlineLevel="0" collapsed="false">
      <c r="A2" s="50" t="s">
        <v>81</v>
      </c>
      <c r="B2" s="50"/>
      <c r="C2" s="50"/>
      <c r="D2" s="50"/>
      <c r="E2" s="50"/>
      <c r="F2" s="50"/>
      <c r="G2" s="50"/>
      <c r="H2" s="50"/>
      <c r="I2" s="50"/>
      <c r="J2" s="50"/>
    </row>
    <row r="4" customFormat="false" ht="15" hidden="false" customHeight="false" outlineLevel="0" collapsed="false">
      <c r="B4" s="51" t="s">
        <v>56</v>
      </c>
      <c r="C4" s="52" t="s">
        <v>4</v>
      </c>
      <c r="D4" s="52" t="s">
        <v>5</v>
      </c>
      <c r="E4" s="52" t="s">
        <v>6</v>
      </c>
      <c r="F4" s="52" t="s">
        <v>7</v>
      </c>
      <c r="G4" s="52" t="s">
        <v>8</v>
      </c>
      <c r="H4" s="52" t="s">
        <v>57</v>
      </c>
      <c r="I4" s="51" t="s">
        <v>58</v>
      </c>
      <c r="J4" s="51" t="s">
        <v>19</v>
      </c>
    </row>
    <row r="5" customFormat="false" ht="15" hidden="false" customHeight="false" outlineLevel="0" collapsed="false">
      <c r="B5" s="33" t="s">
        <v>59</v>
      </c>
      <c r="C5" s="53" t="s">
        <v>82</v>
      </c>
      <c r="D5" s="54" t="s">
        <v>83</v>
      </c>
      <c r="E5" s="55" t="s">
        <v>84</v>
      </c>
      <c r="F5" s="55" t="s">
        <v>85</v>
      </c>
      <c r="G5" s="55" t="s">
        <v>86</v>
      </c>
      <c r="H5" s="36"/>
      <c r="I5" s="36"/>
      <c r="J5" s="36"/>
    </row>
    <row r="7" customFormat="false" ht="15" hidden="false" customHeight="false" outlineLevel="0" collapsed="false">
      <c r="B7" s="37" t="s">
        <v>87</v>
      </c>
      <c r="C7" s="37"/>
      <c r="D7" s="37"/>
      <c r="E7" s="37"/>
      <c r="F7" s="37"/>
      <c r="G7" s="37"/>
      <c r="H7" s="37"/>
      <c r="I7" s="37"/>
      <c r="J7" s="37"/>
    </row>
    <row r="8" customFormat="false" ht="15" hidden="false" customHeight="false" outlineLevel="0" collapsed="false">
      <c r="B8" s="56" t="s">
        <v>88</v>
      </c>
      <c r="C8" s="39" t="n">
        <v>0</v>
      </c>
      <c r="D8" s="7" t="n">
        <f aca="false">'① 가정'!G6</f>
        <v>8000</v>
      </c>
      <c r="E8" s="39" t="n">
        <f aca="false">ROUND(D8*(1+'① 가정'!G7),0)</f>
        <v>13600</v>
      </c>
      <c r="F8" s="39" t="n">
        <f aca="false">ROUND(E8*(1+'① 가정'!G7),0)</f>
        <v>23120</v>
      </c>
      <c r="G8" s="39" t="n">
        <f aca="false">ROUND(F8*(1+'① 가정'!G7),0)</f>
        <v>39304</v>
      </c>
      <c r="H8" s="39" t="n">
        <f aca="false">G8</f>
        <v>39304</v>
      </c>
      <c r="I8" s="40" t="s">
        <v>89</v>
      </c>
      <c r="J8" s="41" t="s">
        <v>90</v>
      </c>
    </row>
    <row r="9" customFormat="false" ht="15" hidden="false" customHeight="false" outlineLevel="0" collapsed="false">
      <c r="B9" s="56" t="s">
        <v>91</v>
      </c>
      <c r="C9" s="39" t="n">
        <f aca="false">IF(C8=0,0,ROUND(C8*'① 가정'!G8*12,0))</f>
        <v>0</v>
      </c>
      <c r="D9" s="39" t="n">
        <f aca="false">IF(D8=0,0,ROUND(D8*'① 가정'!G8*12,0))</f>
        <v>5760</v>
      </c>
      <c r="E9" s="39" t="n">
        <f aca="false">IF(E8=0,0,ROUND(E8*'① 가정'!G8*12,0))</f>
        <v>9792</v>
      </c>
      <c r="F9" s="39" t="n">
        <f aca="false">IF(F8=0,0,ROUND(F8*'① 가정'!G8*12,0))</f>
        <v>16646</v>
      </c>
      <c r="G9" s="39" t="n">
        <f aca="false">IF(G8=0,0,ROUND(G8*'① 가정'!G8*12,0))</f>
        <v>28299</v>
      </c>
      <c r="H9" s="39" t="n">
        <f aca="false">SUM(C9:G9)</f>
        <v>60497</v>
      </c>
      <c r="I9" s="40" t="s">
        <v>92</v>
      </c>
    </row>
    <row r="10" customFormat="false" ht="15" hidden="false" customHeight="false" outlineLevel="0" collapsed="false">
      <c r="B10" s="56" t="s">
        <v>93</v>
      </c>
      <c r="C10" s="39" t="n">
        <f aca="false">ROUND(C9*('① 가정'!G9-1),0)</f>
        <v>0</v>
      </c>
      <c r="D10" s="39" t="n">
        <f aca="false">ROUND(D9*('① 가정'!G9-1),0)</f>
        <v>2304</v>
      </c>
      <c r="E10" s="39" t="n">
        <f aca="false">ROUND(E9*('① 가정'!G9-1),0)</f>
        <v>3917</v>
      </c>
      <c r="F10" s="39" t="n">
        <f aca="false">ROUND(F9*('① 가정'!G9-1),0)</f>
        <v>6658</v>
      </c>
      <c r="G10" s="39" t="n">
        <f aca="false">ROUND(G9*('① 가정'!G9-1),0)</f>
        <v>11320</v>
      </c>
      <c r="H10" s="39" t="n">
        <f aca="false">SUM(C10:G10)</f>
        <v>24199</v>
      </c>
      <c r="I10" s="40" t="s">
        <v>92</v>
      </c>
      <c r="J10" s="41" t="s">
        <v>94</v>
      </c>
    </row>
    <row r="11" customFormat="false" ht="15" hidden="false" customHeight="false" outlineLevel="0" collapsed="false">
      <c r="B11" s="13" t="s">
        <v>95</v>
      </c>
      <c r="C11" s="43" t="n">
        <f aca="false">C9+C10</f>
        <v>0</v>
      </c>
      <c r="D11" s="43" t="n">
        <f aca="false">D9+D10</f>
        <v>8064</v>
      </c>
      <c r="E11" s="43" t="n">
        <f aca="false">E9+E10</f>
        <v>13709</v>
      </c>
      <c r="F11" s="43" t="n">
        <f aca="false">F9+F10</f>
        <v>23304</v>
      </c>
      <c r="G11" s="43" t="n">
        <f aca="false">G9+G10</f>
        <v>39619</v>
      </c>
      <c r="H11" s="43" t="n">
        <f aca="false">SUM(C11:G11)</f>
        <v>84696</v>
      </c>
      <c r="I11" s="40" t="s">
        <v>92</v>
      </c>
    </row>
    <row r="13" customFormat="false" ht="15" hidden="false" customHeight="false" outlineLevel="0" collapsed="false">
      <c r="B13" s="37" t="s">
        <v>96</v>
      </c>
      <c r="C13" s="37"/>
      <c r="D13" s="37"/>
      <c r="E13" s="37"/>
      <c r="F13" s="37"/>
      <c r="G13" s="37"/>
      <c r="H13" s="37"/>
      <c r="I13" s="37"/>
      <c r="J13" s="37"/>
    </row>
    <row r="14" customFormat="false" ht="15" hidden="false" customHeight="false" outlineLevel="0" collapsed="false">
      <c r="B14" s="57" t="s">
        <v>97</v>
      </c>
      <c r="C14" s="39" t="n">
        <v>0</v>
      </c>
      <c r="D14" s="7" t="n">
        <f aca="false">ROUND('② SOLO'!D7*'① 가정'!G10,0)</f>
        <v>159</v>
      </c>
      <c r="E14" s="7" t="n">
        <f aca="false">ROUND('② SOLO'!E7*'① 가정'!G10,0)</f>
        <v>349</v>
      </c>
      <c r="F14" s="7" t="n">
        <f aca="false">ROUND('② SOLO'!F7*'① 가정'!G10,0)</f>
        <v>767</v>
      </c>
      <c r="G14" s="7" t="n">
        <f aca="false">ROUND('② SOLO'!G7*'① 가정'!G10,0)</f>
        <v>1687</v>
      </c>
      <c r="H14" s="39" t="n">
        <f aca="false">G14</f>
        <v>1687</v>
      </c>
      <c r="I14" s="40" t="s">
        <v>89</v>
      </c>
      <c r="J14" s="41" t="s">
        <v>98</v>
      </c>
    </row>
    <row r="15" customFormat="false" ht="15" hidden="false" customHeight="false" outlineLevel="0" collapsed="false">
      <c r="B15" s="56" t="s">
        <v>99</v>
      </c>
      <c r="C15" s="39" t="n">
        <f aca="false">ROUND(C14*'① 가정'!G11*12,0)</f>
        <v>0</v>
      </c>
      <c r="D15" s="39" t="n">
        <f aca="false">ROUND(D14*'① 가정'!G11*12,0)</f>
        <v>15264</v>
      </c>
      <c r="E15" s="39" t="n">
        <f aca="false">ROUND(E14*'① 가정'!G11*12,0)</f>
        <v>33504</v>
      </c>
      <c r="F15" s="39" t="n">
        <f aca="false">ROUND(F14*'① 가정'!G11*12,0)</f>
        <v>73632</v>
      </c>
      <c r="G15" s="39" t="n">
        <f aca="false">ROUND(G14*'① 가정'!G11*12,0)</f>
        <v>161952</v>
      </c>
      <c r="H15" s="39" t="n">
        <f aca="false">SUM(C15:G15)</f>
        <v>284352</v>
      </c>
      <c r="I15" s="40" t="s">
        <v>100</v>
      </c>
    </row>
    <row r="17" customFormat="false" ht="15" hidden="false" customHeight="false" outlineLevel="0" collapsed="false">
      <c r="B17" s="58" t="s">
        <v>101</v>
      </c>
      <c r="C17" s="58"/>
      <c r="D17" s="58"/>
      <c r="E17" s="58"/>
      <c r="F17" s="58"/>
      <c r="G17" s="58"/>
      <c r="H17" s="58"/>
      <c r="I17" s="58"/>
      <c r="J17" s="58"/>
    </row>
    <row r="18" customFormat="false" ht="15" hidden="false" customHeight="false" outlineLevel="0" collapsed="false">
      <c r="B18" s="56" t="s">
        <v>102</v>
      </c>
      <c r="C18" s="39" t="n">
        <f aca="false">ROUND(C11*'① 가정'!G14*'① 가정'!G12*(1+'① 가정'!C8)^0*'① 가정'!G17*'① 가정'!C6,0)</f>
        <v>0</v>
      </c>
      <c r="D18" s="39" t="n">
        <f aca="false">ROUND(D11*'① 가정'!G14*'① 가정'!G12*(1+'① 가정'!C8)^1*'① 가정'!G17*'① 가정'!C6,0)</f>
        <v>91845412</v>
      </c>
      <c r="E18" s="39" t="n">
        <f aca="false">ROUND(E11*'① 가정'!G14*'① 가정'!G12*(1+'① 가정'!C8)^2*'① 가정'!G17*'① 가정'!C6,0)</f>
        <v>163946452</v>
      </c>
      <c r="F18" s="39" t="n">
        <f aca="false">ROUND(F11*'① 가정'!G14*'① 가정'!G12*(1+'① 가정'!C8)^3*'① 가정'!G17*'① 가정'!C6,0)</f>
        <v>292628093</v>
      </c>
      <c r="G18" s="39" t="n">
        <f aca="false">ROUND(G11*'① 가정'!G14*'① 가정'!G12*(1+'① 가정'!C8)^4*'① 가정'!G17*'① 가정'!C6,0)</f>
        <v>522370152</v>
      </c>
      <c r="H18" s="39" t="n">
        <f aca="false">SUM(C18:G18)</f>
        <v>1070790109</v>
      </c>
      <c r="I18" s="45" t="s">
        <v>76</v>
      </c>
    </row>
    <row r="19" customFormat="false" ht="15" hidden="false" customHeight="false" outlineLevel="0" collapsed="false">
      <c r="B19" s="56" t="s">
        <v>103</v>
      </c>
      <c r="C19" s="39" t="n">
        <f aca="false">ROUND(C11*'① 가정'!G15*'① 가정'!G13*(1+'① 가정'!C8)^0*'① 가정'!G17*'① 가정'!C6,0)</f>
        <v>0</v>
      </c>
      <c r="D19" s="39" t="n">
        <f aca="false">ROUND(D11*'① 가정'!G15*'① 가정'!G13*(1+'① 가정'!C8)^1*'① 가정'!G17*'① 가정'!C6,0)</f>
        <v>82646646</v>
      </c>
      <c r="E19" s="39" t="n">
        <f aca="false">ROUND(E11*'① 가정'!G15*'① 가정'!G13*(1+'① 가정'!C8)^2*'① 가정'!G17*'① 가정'!C6,0)</f>
        <v>147526415</v>
      </c>
      <c r="F19" s="39" t="n">
        <f aca="false">ROUND(F11*'① 가정'!G15*'① 가정'!G13*(1+'① 가정'!C8)^3*'① 가정'!G17*'① 가정'!C6,0)</f>
        <v>263319962</v>
      </c>
      <c r="G19" s="39" t="n">
        <f aca="false">ROUND(G11*'① 가정'!G15*'① 가정'!G13*(1+'① 가정'!C8)^4*'① 가정'!G17*'① 가정'!C6,0)</f>
        <v>470052233</v>
      </c>
      <c r="H19" s="39" t="n">
        <f aca="false">SUM(C19:G19)</f>
        <v>963545256</v>
      </c>
      <c r="I19" s="45" t="s">
        <v>76</v>
      </c>
    </row>
    <row r="20" customFormat="false" ht="15" hidden="false" customHeight="false" outlineLevel="0" collapsed="false">
      <c r="B20" s="56" t="s">
        <v>104</v>
      </c>
      <c r="C20" s="39" t="n">
        <f aca="false">ROUND(C15*('① 가정'!G14*'① 가정'!G12+'① 가정'!G15*'① 가정'!G13)*(1+'① 가정'!C8)^0*(1-'① 가정'!C7)*(1-'① 가정'!G16)*'① 가정'!C6,0)</f>
        <v>0</v>
      </c>
      <c r="D20" s="39" t="n">
        <f aca="false">ROUND(D15*('① 가정'!G14*'① 가정'!G12+'① 가정'!G15*'① 가정'!G13)*(1+'① 가정'!C8)^1*(1-'① 가정'!C7)*(1-'① 가정'!G16)*'① 가정'!C6,0)</f>
        <v>167394359</v>
      </c>
      <c r="E20" s="39" t="n">
        <f aca="false">ROUND(E15*('① 가정'!G14*'① 가정'!G12+'① 가정'!G15*'① 가정'!G13)*(1+'① 가정'!C8)^2*(1-'① 가정'!C7)*(1-'① 가정'!G16)*'① 가정'!C6,0)</f>
        <v>385796623</v>
      </c>
      <c r="F20" s="39" t="n">
        <f aca="false">ROUND(F15*('① 가정'!G14*'① 가정'!G12+'① 가정'!G15*'① 가정'!G13)*(1+'① 가정'!C8)^3*(1-'① 가정'!C7)*(1-'① 가정'!G16)*'① 가정'!C6,0)</f>
        <v>890261634</v>
      </c>
      <c r="G20" s="39" t="n">
        <f aca="false">ROUND(G15*('① 가정'!G14*'① 가정'!G12+'① 가정'!G15*'① 가정'!G13)*(1+'① 가정'!C8)^4*(1-'① 가정'!C7)*(1-'① 가정'!G16)*'① 가정'!C6,0)</f>
        <v>2056016877</v>
      </c>
      <c r="H20" s="39" t="n">
        <f aca="false">SUM(C20:G20)</f>
        <v>3499469493</v>
      </c>
      <c r="I20" s="45" t="s">
        <v>76</v>
      </c>
    </row>
    <row r="21" customFormat="false" ht="15" hidden="false" customHeight="false" outlineLevel="0" collapsed="false">
      <c r="B21" s="59" t="s">
        <v>105</v>
      </c>
      <c r="C21" s="60" t="n">
        <f aca="false">IF(C8=0,0,-ROUND('① 가정'!G18*12*'① 가정'!C6,0))</f>
        <v>0</v>
      </c>
      <c r="D21" s="60" t="n">
        <f aca="false">IF(D8=0,0,-ROUND('① 가정'!G18*12*'① 가정'!C6,0))</f>
        <v>-6720000</v>
      </c>
      <c r="E21" s="60" t="n">
        <f aca="false">IF(E8=0,0,-ROUND('① 가정'!G18*12*'① 가정'!C6,0))</f>
        <v>-6720000</v>
      </c>
      <c r="F21" s="60" t="n">
        <f aca="false">IF(F8=0,0,-ROUND('① 가정'!G18*12*'① 가정'!C6,0))</f>
        <v>-6720000</v>
      </c>
      <c r="G21" s="60" t="n">
        <f aca="false">IF(G8=0,0,-ROUND('① 가정'!G18*12*'① 가정'!C6,0))</f>
        <v>-6720000</v>
      </c>
      <c r="H21" s="60" t="n">
        <f aca="false">SUM(C21:G21)</f>
        <v>-26880000</v>
      </c>
      <c r="I21" s="45" t="s">
        <v>76</v>
      </c>
    </row>
    <row r="22" customFormat="false" ht="15" hidden="false" customHeight="false" outlineLevel="0" collapsed="false">
      <c r="B22" s="61" t="s">
        <v>106</v>
      </c>
      <c r="C22" s="62" t="n">
        <f aca="false">C18+C19+C20+C21</f>
        <v>0</v>
      </c>
      <c r="D22" s="62" t="n">
        <f aca="false">D18+D19+D20+D21</f>
        <v>335166417</v>
      </c>
      <c r="E22" s="62" t="n">
        <f aca="false">E18+E19+E20+E21</f>
        <v>690549490</v>
      </c>
      <c r="F22" s="62" t="n">
        <f aca="false">F18+F19+F20+F21</f>
        <v>1439489689</v>
      </c>
      <c r="G22" s="62" t="n">
        <f aca="false">G18+G19+G20+G21</f>
        <v>3041719262</v>
      </c>
      <c r="H22" s="62" t="n">
        <f aca="false">SUM(C22:G22)</f>
        <v>5506924858</v>
      </c>
      <c r="I22" s="57" t="s">
        <v>76</v>
      </c>
    </row>
  </sheetData>
  <mergeCells count="5">
    <mergeCell ref="A1:J1"/>
    <mergeCell ref="A2:J2"/>
    <mergeCell ref="B7:J7"/>
    <mergeCell ref="B13:J13"/>
    <mergeCell ref="B17:J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7" min="3" style="0" width="15"/>
    <col collapsed="false" customWidth="true" hidden="false" outlineLevel="0" max="8" min="8" style="0" width="18"/>
    <col collapsed="false" customWidth="true" hidden="false" outlineLevel="0" max="9" min="9" style="0" width="13"/>
    <col collapsed="false" customWidth="true" hidden="false" outlineLevel="0" max="10" min="10" style="0" width="32"/>
  </cols>
  <sheetData>
    <row r="1" customFormat="false" ht="36" hidden="false" customHeight="true" outlineLevel="0" collapsed="false">
      <c r="A1" s="63" t="s">
        <v>107</v>
      </c>
      <c r="B1" s="63"/>
      <c r="C1" s="63"/>
      <c r="D1" s="63"/>
      <c r="E1" s="63"/>
      <c r="F1" s="63"/>
      <c r="G1" s="63"/>
      <c r="H1" s="63"/>
      <c r="I1" s="63"/>
      <c r="J1" s="63"/>
    </row>
    <row r="2" customFormat="false" ht="18" hidden="false" customHeight="true" outlineLevel="0" collapsed="false">
      <c r="A2" s="64" t="s">
        <v>108</v>
      </c>
      <c r="B2" s="64"/>
      <c r="C2" s="64"/>
      <c r="D2" s="64"/>
      <c r="E2" s="64"/>
      <c r="F2" s="64"/>
      <c r="G2" s="64"/>
      <c r="H2" s="64"/>
      <c r="I2" s="64"/>
      <c r="J2" s="64"/>
    </row>
    <row r="4" customFormat="false" ht="15" hidden="false" customHeight="false" outlineLevel="0" collapsed="false">
      <c r="B4" s="65" t="s">
        <v>56</v>
      </c>
      <c r="C4" s="66" t="s">
        <v>4</v>
      </c>
      <c r="D4" s="66" t="s">
        <v>5</v>
      </c>
      <c r="E4" s="66" t="s">
        <v>6</v>
      </c>
      <c r="F4" s="66" t="s">
        <v>7</v>
      </c>
      <c r="G4" s="66" t="s">
        <v>8</v>
      </c>
      <c r="H4" s="66" t="s">
        <v>57</v>
      </c>
      <c r="I4" s="65" t="s">
        <v>58</v>
      </c>
      <c r="J4" s="65" t="s">
        <v>19</v>
      </c>
    </row>
    <row r="5" customFormat="false" ht="15" hidden="false" customHeight="false" outlineLevel="0" collapsed="false">
      <c r="B5" s="37" t="s">
        <v>109</v>
      </c>
      <c r="C5" s="37"/>
      <c r="D5" s="37"/>
      <c r="E5" s="37"/>
      <c r="F5" s="37"/>
      <c r="G5" s="37"/>
      <c r="H5" s="37"/>
      <c r="I5" s="37"/>
      <c r="J5" s="37"/>
    </row>
    <row r="6" customFormat="false" ht="15" hidden="false" customHeight="false" outlineLevel="0" collapsed="false">
      <c r="B6" s="13" t="s">
        <v>110</v>
      </c>
      <c r="C6" s="7" t="n">
        <f aca="false">'① 가정'!C13</f>
        <v>200</v>
      </c>
      <c r="D6" s="39" t="n">
        <f aca="false">ROUND(C6*(1-'① 가정'!C15)*(1+'① 가정'!C14),0)</f>
        <v>440</v>
      </c>
      <c r="E6" s="39" t="n">
        <f aca="false">ROUND(D6*(1-'① 가정'!C15)*(1+'① 가정'!C14),0)</f>
        <v>968</v>
      </c>
      <c r="F6" s="39" t="n">
        <f aca="false">ROUND(E6*(1-'① 가정'!C15)*(1+'① 가정'!C14),0)</f>
        <v>2130</v>
      </c>
      <c r="G6" s="39" t="n">
        <f aca="false">ROUND(F6*(1-'① 가정'!C15)*(1+'① 가정'!C14),0)</f>
        <v>4686</v>
      </c>
      <c r="H6" s="39" t="n">
        <f aca="false">G6</f>
        <v>4686</v>
      </c>
      <c r="I6" s="40" t="s">
        <v>89</v>
      </c>
      <c r="J6" s="42" t="s">
        <v>111</v>
      </c>
    </row>
    <row r="7" customFormat="false" ht="15" hidden="false" customHeight="false" outlineLevel="0" collapsed="false">
      <c r="B7" s="67" t="s">
        <v>112</v>
      </c>
      <c r="C7" s="39" t="n">
        <f aca="false">ROUND(C6*'① 가정'!C16,0)</f>
        <v>144</v>
      </c>
      <c r="D7" s="39" t="n">
        <f aca="false">ROUND(D6*'① 가정'!C16,0)</f>
        <v>317</v>
      </c>
      <c r="E7" s="39" t="n">
        <f aca="false">ROUND(E6*'① 가정'!C16,0)</f>
        <v>697</v>
      </c>
      <c r="F7" s="39" t="n">
        <f aca="false">ROUND(F6*'① 가정'!C16,0)</f>
        <v>1534</v>
      </c>
      <c r="G7" s="39" t="n">
        <f aca="false">ROUND(G6*'① 가정'!C16,0)</f>
        <v>3374</v>
      </c>
      <c r="H7" s="39" t="n">
        <f aca="false">G7</f>
        <v>3374</v>
      </c>
      <c r="I7" s="40" t="s">
        <v>89</v>
      </c>
    </row>
    <row r="8" customFormat="false" ht="15" hidden="false" customHeight="false" outlineLevel="0" collapsed="false">
      <c r="B8" s="67" t="s">
        <v>113</v>
      </c>
      <c r="C8" s="39" t="n">
        <f aca="false">ROUND(C7*0.2,0)</f>
        <v>29</v>
      </c>
      <c r="D8" s="39" t="n">
        <f aca="false">ROUND(D7*0.2,0)</f>
        <v>63</v>
      </c>
      <c r="E8" s="39" t="n">
        <f aca="false">ROUND(E7*0.2,0)</f>
        <v>139</v>
      </c>
      <c r="F8" s="39" t="n">
        <f aca="false">ROUND(F7*0.2,0)</f>
        <v>307</v>
      </c>
      <c r="G8" s="39" t="n">
        <f aca="false">ROUND(G7*0.2,0)</f>
        <v>675</v>
      </c>
      <c r="H8" s="39" t="n">
        <f aca="false">G8</f>
        <v>675</v>
      </c>
      <c r="I8" s="40" t="s">
        <v>89</v>
      </c>
    </row>
    <row r="10" customFormat="false" ht="15" hidden="false" customHeight="false" outlineLevel="0" collapsed="false">
      <c r="B10" s="68" t="s">
        <v>114</v>
      </c>
      <c r="C10" s="68"/>
      <c r="D10" s="68"/>
      <c r="E10" s="68"/>
      <c r="F10" s="68"/>
      <c r="G10" s="68"/>
      <c r="H10" s="68"/>
      <c r="I10" s="68"/>
      <c r="J10" s="68"/>
    </row>
    <row r="11" customFormat="false" ht="15" hidden="false" customHeight="false" outlineLevel="0" collapsed="false">
      <c r="B11" s="69" t="s">
        <v>115</v>
      </c>
      <c r="C11" s="39" t="n">
        <f aca="false">ROUND(C8*'① 가정'!C17+(C7-C8)*0.75*'① 가정'!C18+(C7-C8)*0.25*'① 가정'!C19,0)</f>
        <v>1879</v>
      </c>
      <c r="D11" s="39" t="n">
        <f aca="false">ROUND(D8*'① 가정'!C17+(D7-D8)*0.75*'① 가정'!C18+(D7-D8)*0.25*'① 가정'!C19,0)</f>
        <v>4108</v>
      </c>
      <c r="E11" s="39" t="n">
        <f aca="false">ROUND(E8*'① 가정'!C17+(E7-E8)*0.75*'① 가정'!C18+(E7-E8)*0.25*'① 가정'!C19,0)</f>
        <v>9048</v>
      </c>
      <c r="F11" s="39" t="n">
        <f aca="false">ROUND(F8*'① 가정'!C17+(F7-F8)*0.75*'① 가정'!C18+(F7-F8)*0.25*'① 가정'!C19,0)</f>
        <v>19949</v>
      </c>
      <c r="G11" s="39" t="n">
        <f aca="false">ROUND(G8*'① 가정'!C17+(G7-G8)*0.75*'① 가정'!C18+(G7-G8)*0.25*'① 가정'!C19,0)</f>
        <v>43869</v>
      </c>
      <c r="H11" s="39" t="n">
        <f aca="false">SUM(C11:G11)</f>
        <v>78853</v>
      </c>
      <c r="I11" s="40" t="s">
        <v>116</v>
      </c>
    </row>
    <row r="12" customFormat="false" ht="15" hidden="false" customHeight="false" outlineLevel="0" collapsed="false">
      <c r="B12" s="13" t="s">
        <v>117</v>
      </c>
      <c r="C12" s="43" t="n">
        <f aca="false">C11*12</f>
        <v>22548</v>
      </c>
      <c r="D12" s="43" t="n">
        <f aca="false">D11*12</f>
        <v>49296</v>
      </c>
      <c r="E12" s="43" t="n">
        <f aca="false">E11*12</f>
        <v>108576</v>
      </c>
      <c r="F12" s="43" t="n">
        <f aca="false">F11*12</f>
        <v>239388</v>
      </c>
      <c r="G12" s="43" t="n">
        <f aca="false">G11*12</f>
        <v>526428</v>
      </c>
      <c r="H12" s="43" t="n">
        <f aca="false">SUM(C12:G12)</f>
        <v>946236</v>
      </c>
      <c r="I12" s="40" t="s">
        <v>100</v>
      </c>
    </row>
    <row r="13" customFormat="false" ht="15" hidden="false" customHeight="false" outlineLevel="0" collapsed="false">
      <c r="B13" s="70" t="s">
        <v>118</v>
      </c>
      <c r="C13" s="39" t="n">
        <f aca="false">ROUND(C12*'① 가정'!C28*(1+'① 가정'!C9)^0,0)</f>
        <v>6313</v>
      </c>
      <c r="D13" s="39" t="n">
        <f aca="false">ROUND(D12*'① 가정'!C28*(1+'① 가정'!C9)^1,0)</f>
        <v>14217</v>
      </c>
      <c r="E13" s="39" t="n">
        <f aca="false">ROUND(E12*'① 가정'!C28*(1+'① 가정'!C9)^2,0)</f>
        <v>32253</v>
      </c>
      <c r="F13" s="39" t="n">
        <f aca="false">ROUND(F12*'① 가정'!C28*(1+'① 가정'!C9)^3,0)</f>
        <v>73244</v>
      </c>
      <c r="G13" s="39" t="n">
        <f aca="false">ROUND(G12*'① 가정'!C28*(1+'① 가정'!C9)^4,0)</f>
        <v>165900</v>
      </c>
      <c r="H13" s="39" t="n">
        <f aca="false">SUM(C13:G13)</f>
        <v>291927</v>
      </c>
      <c r="I13" s="40" t="s">
        <v>100</v>
      </c>
    </row>
    <row r="14" customFormat="false" ht="15" hidden="false" customHeight="false" outlineLevel="0" collapsed="false">
      <c r="B14" s="70" t="s">
        <v>119</v>
      </c>
      <c r="C14" s="39" t="n">
        <f aca="false">ROUND(C12*'① 가정'!C29*(1+'① 가정'!C9)^0,0)</f>
        <v>2706</v>
      </c>
      <c r="D14" s="39" t="n">
        <f aca="false">ROUND(D12*'① 가정'!C29*(1+'① 가정'!C9)^1,0)</f>
        <v>6093</v>
      </c>
      <c r="E14" s="39" t="n">
        <f aca="false">ROUND(E12*'① 가정'!C29*(1+'① 가정'!C9)^2,0)</f>
        <v>13823</v>
      </c>
      <c r="F14" s="39" t="n">
        <f aca="false">ROUND(F12*'① 가정'!C29*(1+'① 가정'!C9)^3,0)</f>
        <v>31390</v>
      </c>
      <c r="G14" s="39" t="n">
        <f aca="false">ROUND(G12*'① 가정'!C29*(1+'① 가정'!C9)^4,0)</f>
        <v>71100</v>
      </c>
      <c r="H14" s="39" t="n">
        <f aca="false">SUM(C14:G14)</f>
        <v>125112</v>
      </c>
      <c r="I14" s="40" t="s">
        <v>100</v>
      </c>
    </row>
    <row r="15" customFormat="false" ht="15" hidden="false" customHeight="false" outlineLevel="0" collapsed="false">
      <c r="B15" s="69" t="s">
        <v>120</v>
      </c>
      <c r="C15" s="39" t="n">
        <f aca="false">ROUND(C12*'① 가정'!C30*(1+'① 가정'!C9)^0,0)</f>
        <v>4059</v>
      </c>
      <c r="D15" s="39" t="n">
        <f aca="false">ROUND(D12*'① 가정'!C30*(1+'① 가정'!C9)^1,0)</f>
        <v>9139</v>
      </c>
      <c r="E15" s="39" t="n">
        <f aca="false">ROUND(E12*'① 가정'!C30*(1+'① 가정'!C9)^2,0)</f>
        <v>20734</v>
      </c>
      <c r="F15" s="39" t="n">
        <f aca="false">ROUND(F12*'① 가정'!C30*(1+'① 가정'!C9)^3,0)</f>
        <v>47085</v>
      </c>
      <c r="G15" s="39" t="n">
        <f aca="false">ROUND(G12*'① 가정'!C30*(1+'① 가정'!C9)^4,0)</f>
        <v>106650</v>
      </c>
      <c r="H15" s="39" t="n">
        <f aca="false">SUM(C15:G15)</f>
        <v>187667</v>
      </c>
      <c r="I15" s="40" t="s">
        <v>100</v>
      </c>
    </row>
    <row r="17" customFormat="false" ht="15" hidden="false" customHeight="false" outlineLevel="0" collapsed="false">
      <c r="B17" s="68" t="s">
        <v>121</v>
      </c>
      <c r="C17" s="68"/>
      <c r="D17" s="68"/>
      <c r="E17" s="68"/>
      <c r="F17" s="68"/>
      <c r="G17" s="68"/>
      <c r="H17" s="68"/>
      <c r="I17" s="68"/>
      <c r="J17" s="68"/>
    </row>
    <row r="18" customFormat="false" ht="15" hidden="false" customHeight="false" outlineLevel="0" collapsed="false">
      <c r="B18" s="70" t="s">
        <v>122</v>
      </c>
      <c r="C18" s="39" t="n">
        <f aca="false">ROUND(C12*'① 가정'!C20*(1+'① 가정'!C8)^0*(1-'① 가정'!C7)*(1-'① 가정'!C24)*'① 가정'!C6,0)</f>
        <v>109217461</v>
      </c>
      <c r="D18" s="39" t="n">
        <f aca="false">ROUND(D12*'① 가정'!C20*(1+'① 가정'!C8)^1*(1-'① 가정'!C7)*(1-'① 가정'!C24)*'① 가정'!C6,0)</f>
        <v>250717721</v>
      </c>
      <c r="E18" s="39" t="n">
        <f aca="false">ROUND(E12*'① 가정'!C20*(1+'① 가정'!C8)^2*(1-'① 가정'!C7)*(1-'① 가정'!C24)*'① 가정'!C6,0)</f>
        <v>579824400</v>
      </c>
      <c r="F18" s="39" t="n">
        <f aca="false">ROUND(F12*'① 가정'!C20*(1+'① 가정'!C8)^3*(1-'① 가정'!C7)*(1-'① 가정'!C24)*'① 가정'!C6,0)</f>
        <v>1342314633</v>
      </c>
      <c r="G18" s="39" t="n">
        <f aca="false">ROUND(G12*'① 가정'!C20*(1+'① 가정'!C8)^4*(1-'① 가정'!C7)*(1-'① 가정'!C24)*'① 가정'!C6,0)</f>
        <v>3099418551</v>
      </c>
      <c r="H18" s="39" t="n">
        <f aca="false">SUM(C18:G18)</f>
        <v>5381492766</v>
      </c>
      <c r="I18" s="45" t="s">
        <v>76</v>
      </c>
    </row>
    <row r="19" customFormat="false" ht="15" hidden="false" customHeight="false" outlineLevel="0" collapsed="false">
      <c r="B19" s="70" t="s">
        <v>123</v>
      </c>
      <c r="C19" s="39" t="n">
        <f aca="false">ROUND(C13*'① 가정'!C21*(1+'① 가정'!C8)^0*(1-'① 가정'!C7)*(1-'① 가정'!C25)*'① 가정'!C6,0)</f>
        <v>79234021</v>
      </c>
      <c r="D19" s="39" t="n">
        <f aca="false">ROUND(D13*'① 가정'!C21*(1+'① 가정'!C8)^1*(1-'① 가정'!C7)*(1-'① 가정'!C25)*'① 가정'!C6,0)</f>
        <v>187358400</v>
      </c>
      <c r="E19" s="39" t="n">
        <f aca="false">ROUND(E13*'① 가정'!C21*(1+'① 가정'!C8)^2*(1-'① 가정'!C7)*(1-'① 가정'!C25)*'① 가정'!C6,0)</f>
        <v>446297673</v>
      </c>
      <c r="F19" s="39" t="n">
        <f aca="false">ROUND(F13*'① 가정'!C21*(1+'① 가정'!C8)^3*(1-'① 가정'!C7)*(1-'① 가정'!C25)*'① 가정'!C6,0)</f>
        <v>1064181877</v>
      </c>
      <c r="G19" s="39" t="n">
        <f aca="false">ROUND(G13*'① 가정'!C21*(1+'① 가정'!C8)^4*(1-'① 가정'!C7)*(1-'① 가정'!C25)*'① 가정'!C6,0)</f>
        <v>2530926247</v>
      </c>
      <c r="H19" s="39" t="n">
        <f aca="false">SUM(C19:G19)</f>
        <v>4307998218</v>
      </c>
      <c r="I19" s="45" t="s">
        <v>76</v>
      </c>
    </row>
    <row r="20" customFormat="false" ht="15" hidden="false" customHeight="false" outlineLevel="0" collapsed="false">
      <c r="B20" s="70" t="s">
        <v>124</v>
      </c>
      <c r="C20" s="39" t="n">
        <f aca="false">ROUND(C14*'① 가정'!C22*(1+'① 가정'!C8)^0*(1-'① 가정'!C7)*(1-'① 가정'!C26)*'① 가정'!C6,0)</f>
        <v>59187461</v>
      </c>
      <c r="D20" s="39" t="n">
        <f aca="false">ROUND(D14*'① 가정'!C22*(1+'① 가정'!C8)^1*(1-'① 가정'!C7)*(1-'① 가정'!C26)*'① 가정'!C6,0)</f>
        <v>139933726</v>
      </c>
      <c r="E20" s="39" t="n">
        <f aca="false">ROUND(E14*'① 가정'!C22*(1+'① 가정'!C8)^2*(1-'① 가정'!C7)*(1-'① 가정'!C26)*'① 가정'!C6,0)</f>
        <v>333336465</v>
      </c>
      <c r="F20" s="39" t="n">
        <f aca="false">ROUND(F14*'① 가정'!C22*(1+'① 가정'!C8)^3*(1-'① 가정'!C7)*(1-'① 가정'!C26)*'① 가정'!C6,0)</f>
        <v>794805992</v>
      </c>
      <c r="G20" s="39" t="n">
        <f aca="false">ROUND(G14*'① 가정'!C22*(1+'① 가정'!C8)^4*(1-'① 가정'!C7)*(1-'① 가정'!C26)*'① 가정'!C6,0)</f>
        <v>1890291219</v>
      </c>
      <c r="H20" s="39" t="n">
        <f aca="false">SUM(C20:G20)</f>
        <v>3217554863</v>
      </c>
      <c r="I20" s="45" t="s">
        <v>76</v>
      </c>
    </row>
    <row r="21" customFormat="false" ht="15" hidden="false" customHeight="false" outlineLevel="0" collapsed="false">
      <c r="B21" s="69" t="s">
        <v>125</v>
      </c>
      <c r="C21" s="39" t="n">
        <f aca="false">ROUND(C15*'① 가정'!C23*(1+'① 가정'!C8)^0*(1-'① 가정'!C7)*(1-'① 가정'!C27)*'① 가정'!C6,0)</f>
        <v>20275289</v>
      </c>
      <c r="D21" s="39" t="n">
        <f aca="false">ROUND(D15*'① 가정'!C23*(1+'① 가정'!C8)^1*(1-'① 가정'!C7)*(1-'① 가정'!C27)*'① 가정'!C6,0)</f>
        <v>47933152</v>
      </c>
      <c r="E21" s="39" t="n">
        <f aca="false">ROUND(E15*'① 가정'!C23*(1+'① 가정'!C8)^2*(1-'① 가정'!C7)*(1-'① 가정'!C27)*'① 가정'!C6,0)</f>
        <v>114185171</v>
      </c>
      <c r="F21" s="39" t="n">
        <f aca="false">ROUND(F15*'① 가정'!C23*(1+'① 가정'!C8)^3*(1-'① 가정'!C7)*(1-'① 가정'!C27)*'① 가정'!C6,0)</f>
        <v>272269181</v>
      </c>
      <c r="G21" s="39" t="n">
        <f aca="false">ROUND(G15*'① 가정'!C23*(1+'① 가정'!C8)^4*(1-'① 가정'!C7)*(1-'① 가정'!C27)*'① 가정'!C6,0)</f>
        <v>647539206</v>
      </c>
      <c r="H21" s="39" t="n">
        <f aca="false">SUM(C21:G21)</f>
        <v>1102201999</v>
      </c>
      <c r="I21" s="45" t="s">
        <v>76</v>
      </c>
    </row>
    <row r="22" customFormat="false" ht="15" hidden="false" customHeight="false" outlineLevel="0" collapsed="false">
      <c r="B22" s="71" t="s">
        <v>126</v>
      </c>
      <c r="C22" s="72" t="n">
        <f aca="false">C18+C19+C20+C21</f>
        <v>267914232</v>
      </c>
      <c r="D22" s="72" t="n">
        <f aca="false">D18+D19+D20+D21</f>
        <v>625942999</v>
      </c>
      <c r="E22" s="72" t="n">
        <f aca="false">E18+E19+E20+E21</f>
        <v>1473643709</v>
      </c>
      <c r="F22" s="72" t="n">
        <f aca="false">F18+F19+F20+F21</f>
        <v>3473571683</v>
      </c>
      <c r="G22" s="72" t="n">
        <f aca="false">G18+G19+G20+G21</f>
        <v>8168175223</v>
      </c>
      <c r="H22" s="72" t="n">
        <f aca="false">SUM(C22:G22)</f>
        <v>14009247846</v>
      </c>
      <c r="I22" s="70" t="s">
        <v>76</v>
      </c>
    </row>
  </sheetData>
  <mergeCells count="5">
    <mergeCell ref="A1:J1"/>
    <mergeCell ref="A2:J2"/>
    <mergeCell ref="B5:J5"/>
    <mergeCell ref="B10:J10"/>
    <mergeCell ref="B17:J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3" min="3" style="0" width="16"/>
    <col collapsed="false" customWidth="true" hidden="false" outlineLevel="0" max="4" min="4" style="0" width="40"/>
    <col collapsed="false" customWidth="true" hidden="false" outlineLevel="0" max="5" min="5" style="0" width="2"/>
    <col collapsed="false" customWidth="true" hidden="false" outlineLevel="0" max="6" min="6" style="0" width="32"/>
    <col collapsed="false" customWidth="true" hidden="false" outlineLevel="0" max="7" min="7" style="0" width="16"/>
    <col collapsed="false" customWidth="true" hidden="false" outlineLevel="0" max="8" min="8" style="0" width="40"/>
    <col collapsed="false" customWidth="true" hidden="false" outlineLevel="0" max="9" min="9" style="0" width="2"/>
  </cols>
  <sheetData>
    <row r="1" customFormat="false" ht="36" hidden="false" customHeight="true" outlineLevel="0" collapsed="false">
      <c r="A1" s="73" t="s">
        <v>127</v>
      </c>
      <c r="B1" s="73"/>
      <c r="C1" s="73"/>
      <c r="D1" s="73"/>
      <c r="E1" s="73"/>
      <c r="F1" s="73"/>
      <c r="G1" s="73"/>
      <c r="H1" s="73"/>
      <c r="I1" s="73"/>
    </row>
    <row r="2" customFormat="false" ht="18" hidden="false" customHeight="true" outlineLevel="0" collapsed="false">
      <c r="A2" s="74" t="s">
        <v>128</v>
      </c>
      <c r="B2" s="74"/>
      <c r="C2" s="74"/>
      <c r="D2" s="74"/>
      <c r="E2" s="74"/>
      <c r="F2" s="74"/>
      <c r="G2" s="74"/>
      <c r="H2" s="74"/>
      <c r="I2" s="74"/>
    </row>
    <row r="4" customFormat="false" ht="15" hidden="false" customHeight="false" outlineLevel="0" collapsed="false">
      <c r="A4" s="16" t="s">
        <v>129</v>
      </c>
      <c r="B4" s="16"/>
      <c r="C4" s="16"/>
      <c r="D4" s="16"/>
      <c r="E4" s="16"/>
      <c r="F4" s="58" t="s">
        <v>130</v>
      </c>
      <c r="G4" s="58"/>
      <c r="H4" s="58"/>
      <c r="I4" s="58"/>
    </row>
    <row r="5" customFormat="false" ht="15" hidden="false" customHeight="false" outlineLevel="0" collapsed="false">
      <c r="B5" s="17" t="s">
        <v>131</v>
      </c>
      <c r="C5" s="17" t="s">
        <v>132</v>
      </c>
      <c r="D5" s="17" t="s">
        <v>19</v>
      </c>
      <c r="F5" s="17" t="s">
        <v>131</v>
      </c>
      <c r="G5" s="17" t="s">
        <v>132</v>
      </c>
      <c r="H5" s="17" t="s">
        <v>19</v>
      </c>
    </row>
    <row r="6" customFormat="false" ht="15" hidden="false" customHeight="false" outlineLevel="0" collapsed="false">
      <c r="B6" s="67" t="s">
        <v>133</v>
      </c>
      <c r="C6" s="75" t="n">
        <v>1400</v>
      </c>
      <c r="D6" s="41" t="s">
        <v>134</v>
      </c>
      <c r="F6" s="56" t="s">
        <v>135</v>
      </c>
      <c r="G6" s="75" t="n">
        <v>8000</v>
      </c>
      <c r="H6" s="41" t="s">
        <v>136</v>
      </c>
    </row>
    <row r="7" customFormat="false" ht="15" hidden="false" customHeight="false" outlineLevel="0" collapsed="false">
      <c r="B7" s="19" t="s">
        <v>137</v>
      </c>
      <c r="C7" s="76" t="n">
        <v>0.099</v>
      </c>
      <c r="D7" s="41" t="s">
        <v>138</v>
      </c>
      <c r="F7" s="57" t="s">
        <v>139</v>
      </c>
      <c r="G7" s="76" t="n">
        <v>0.7</v>
      </c>
      <c r="H7" s="41" t="s">
        <v>140</v>
      </c>
    </row>
    <row r="8" customFormat="false" ht="15" hidden="false" customHeight="false" outlineLevel="0" collapsed="false">
      <c r="B8" s="67" t="s">
        <v>141</v>
      </c>
      <c r="C8" s="76" t="n">
        <v>0.05</v>
      </c>
      <c r="D8" s="42" t="s">
        <v>142</v>
      </c>
      <c r="F8" s="56" t="s">
        <v>143</v>
      </c>
      <c r="G8" s="76" t="n">
        <v>0.06</v>
      </c>
      <c r="H8" s="42" t="s">
        <v>144</v>
      </c>
    </row>
    <row r="9" customFormat="false" ht="15" hidden="false" customHeight="false" outlineLevel="0" collapsed="false">
      <c r="B9" s="67" t="s">
        <v>145</v>
      </c>
      <c r="C9" s="76" t="n">
        <v>0.03</v>
      </c>
      <c r="D9" s="42" t="s">
        <v>146</v>
      </c>
      <c r="F9" s="56" t="s">
        <v>147</v>
      </c>
      <c r="G9" s="77" t="n">
        <v>1.4</v>
      </c>
      <c r="H9" s="41" t="s">
        <v>148</v>
      </c>
    </row>
    <row r="10" customFormat="false" ht="15" hidden="false" customHeight="false" outlineLevel="0" collapsed="false">
      <c r="F10" s="57" t="s">
        <v>149</v>
      </c>
      <c r="G10" s="76" t="n">
        <v>0.5</v>
      </c>
      <c r="H10" s="41" t="s">
        <v>150</v>
      </c>
    </row>
    <row r="11" customFormat="false" ht="15" hidden="false" customHeight="false" outlineLevel="0" collapsed="false">
      <c r="A11" s="68" t="s">
        <v>151</v>
      </c>
      <c r="B11" s="68"/>
      <c r="C11" s="68"/>
      <c r="D11" s="68"/>
      <c r="E11" s="68"/>
      <c r="F11" s="57" t="s">
        <v>152</v>
      </c>
      <c r="G11" s="75" t="n">
        <v>8</v>
      </c>
      <c r="H11" s="42" t="s">
        <v>153</v>
      </c>
    </row>
    <row r="12" customFormat="false" ht="15" hidden="false" customHeight="false" outlineLevel="0" collapsed="false">
      <c r="B12" s="17" t="s">
        <v>131</v>
      </c>
      <c r="C12" s="17" t="s">
        <v>132</v>
      </c>
      <c r="D12" s="17" t="s">
        <v>19</v>
      </c>
      <c r="F12" s="56" t="s">
        <v>154</v>
      </c>
      <c r="G12" s="78" t="n">
        <v>14.9</v>
      </c>
      <c r="H12" s="42"/>
    </row>
    <row r="13" customFormat="false" ht="15" hidden="false" customHeight="false" outlineLevel="0" collapsed="false">
      <c r="B13" s="69" t="s">
        <v>155</v>
      </c>
      <c r="C13" s="75" t="n">
        <v>200</v>
      </c>
      <c r="D13" s="41" t="s">
        <v>156</v>
      </c>
      <c r="F13" s="56" t="s">
        <v>157</v>
      </c>
      <c r="G13" s="78" t="n">
        <v>24.9</v>
      </c>
      <c r="H13" s="42"/>
    </row>
    <row r="14" customFormat="false" ht="15" hidden="false" customHeight="false" outlineLevel="0" collapsed="false">
      <c r="B14" s="69" t="s">
        <v>158</v>
      </c>
      <c r="C14" s="76" t="n">
        <v>1.5</v>
      </c>
      <c r="D14" s="42" t="s">
        <v>159</v>
      </c>
      <c r="F14" s="56" t="s">
        <v>160</v>
      </c>
      <c r="G14" s="76" t="n">
        <v>0.65</v>
      </c>
      <c r="H14" s="42"/>
    </row>
    <row r="15" customFormat="false" ht="15" hidden="false" customHeight="false" outlineLevel="0" collapsed="false">
      <c r="B15" s="69" t="s">
        <v>161</v>
      </c>
      <c r="C15" s="76" t="n">
        <v>0.12</v>
      </c>
      <c r="D15" s="42" t="s">
        <v>162</v>
      </c>
      <c r="F15" s="56" t="s">
        <v>163</v>
      </c>
      <c r="G15" s="76" t="n">
        <v>0.35</v>
      </c>
      <c r="H15" s="42"/>
    </row>
    <row r="16" customFormat="false" ht="15" hidden="false" customHeight="false" outlineLevel="0" collapsed="false">
      <c r="B16" s="69" t="s">
        <v>164</v>
      </c>
      <c r="C16" s="76" t="n">
        <v>0.72</v>
      </c>
      <c r="D16" s="42" t="s">
        <v>165</v>
      </c>
      <c r="F16" s="56" t="s">
        <v>166</v>
      </c>
      <c r="G16" s="76" t="n">
        <v>0.55</v>
      </c>
      <c r="H16" s="41" t="s">
        <v>167</v>
      </c>
    </row>
    <row r="17" customFormat="false" ht="15" hidden="false" customHeight="false" outlineLevel="0" collapsed="false">
      <c r="B17" s="69" t="s">
        <v>168</v>
      </c>
      <c r="C17" s="75" t="n">
        <v>40</v>
      </c>
      <c r="D17" s="42" t="s">
        <v>169</v>
      </c>
      <c r="F17" s="56" t="s">
        <v>170</v>
      </c>
      <c r="G17" s="76" t="n">
        <v>0.8</v>
      </c>
      <c r="H17" s="42" t="s">
        <v>171</v>
      </c>
    </row>
    <row r="18" customFormat="false" ht="15" hidden="false" customHeight="false" outlineLevel="0" collapsed="false">
      <c r="B18" s="69" t="s">
        <v>172</v>
      </c>
      <c r="C18" s="75" t="n">
        <v>8</v>
      </c>
      <c r="D18" s="42"/>
      <c r="F18" s="56" t="s">
        <v>173</v>
      </c>
      <c r="G18" s="78" t="n">
        <v>400</v>
      </c>
      <c r="H18" s="41" t="s">
        <v>174</v>
      </c>
    </row>
    <row r="19" customFormat="false" ht="15" hidden="false" customHeight="false" outlineLevel="0" collapsed="false">
      <c r="B19" s="69" t="s">
        <v>175</v>
      </c>
      <c r="C19" s="75" t="n">
        <v>1</v>
      </c>
      <c r="D19" s="42"/>
    </row>
    <row r="20" customFormat="false" ht="15" hidden="false" customHeight="false" outlineLevel="0" collapsed="false">
      <c r="B20" s="70" t="s">
        <v>176</v>
      </c>
      <c r="C20" s="78" t="n">
        <v>12.8</v>
      </c>
      <c r="D20" s="42"/>
      <c r="F20" s="44" t="s">
        <v>177</v>
      </c>
      <c r="G20" s="44"/>
      <c r="H20" s="44"/>
      <c r="I20" s="44"/>
    </row>
    <row r="21" customFormat="false" ht="15" hidden="false" customHeight="false" outlineLevel="0" collapsed="false">
      <c r="B21" s="70" t="s">
        <v>178</v>
      </c>
      <c r="C21" s="78" t="n">
        <v>19.9</v>
      </c>
      <c r="D21" s="42"/>
      <c r="F21" s="17" t="s">
        <v>131</v>
      </c>
      <c r="G21" s="17" t="s">
        <v>132</v>
      </c>
      <c r="H21" s="17" t="s">
        <v>19</v>
      </c>
    </row>
    <row r="22" customFormat="false" ht="15" hidden="false" customHeight="false" outlineLevel="0" collapsed="false">
      <c r="B22" s="70" t="s">
        <v>179</v>
      </c>
      <c r="C22" s="78" t="n">
        <v>28.9</v>
      </c>
      <c r="D22" s="42"/>
      <c r="F22" s="38" t="s">
        <v>180</v>
      </c>
      <c r="G22" s="78" t="n">
        <v>299</v>
      </c>
      <c r="H22" s="42" t="s">
        <v>181</v>
      </c>
    </row>
    <row r="23" customFormat="false" ht="15" hidden="false" customHeight="false" outlineLevel="0" collapsed="false">
      <c r="B23" s="69" t="s">
        <v>182</v>
      </c>
      <c r="C23" s="78" t="n">
        <v>9.9</v>
      </c>
      <c r="D23" s="42"/>
      <c r="F23" s="38" t="s">
        <v>183</v>
      </c>
      <c r="G23" s="78" t="n">
        <v>699</v>
      </c>
      <c r="H23" s="42" t="s">
        <v>184</v>
      </c>
    </row>
    <row r="24" customFormat="false" ht="15" hidden="false" customHeight="false" outlineLevel="0" collapsed="false">
      <c r="B24" s="70" t="s">
        <v>185</v>
      </c>
      <c r="C24" s="76" t="n">
        <v>0.7</v>
      </c>
      <c r="D24" s="42"/>
      <c r="F24" s="38" t="s">
        <v>186</v>
      </c>
      <c r="G24" s="78" t="n">
        <v>499</v>
      </c>
      <c r="H24" s="42" t="s">
        <v>187</v>
      </c>
    </row>
    <row r="25" customFormat="false" ht="15" hidden="false" customHeight="false" outlineLevel="0" collapsed="false">
      <c r="B25" s="70" t="s">
        <v>188</v>
      </c>
      <c r="C25" s="76" t="n">
        <v>0.5</v>
      </c>
      <c r="D25" s="42"/>
      <c r="F25" s="38" t="s">
        <v>189</v>
      </c>
      <c r="G25" s="75" t="n">
        <v>15</v>
      </c>
      <c r="H25" s="42" t="s">
        <v>190</v>
      </c>
    </row>
    <row r="26" customFormat="false" ht="15" hidden="false" customHeight="false" outlineLevel="0" collapsed="false">
      <c r="B26" s="70" t="s">
        <v>191</v>
      </c>
      <c r="C26" s="76" t="n">
        <v>0.4</v>
      </c>
      <c r="D26" s="42"/>
      <c r="F26" s="38" t="s">
        <v>192</v>
      </c>
      <c r="G26" s="76" t="n">
        <v>0.8</v>
      </c>
      <c r="H26" s="42" t="s">
        <v>193</v>
      </c>
    </row>
    <row r="27" customFormat="false" ht="15" hidden="false" customHeight="false" outlineLevel="0" collapsed="false">
      <c r="B27" s="69" t="s">
        <v>194</v>
      </c>
      <c r="C27" s="76" t="n">
        <v>0.6</v>
      </c>
      <c r="D27" s="42"/>
      <c r="F27" s="38" t="s">
        <v>195</v>
      </c>
      <c r="G27" s="75" t="n">
        <v>4</v>
      </c>
      <c r="H27" s="42" t="s">
        <v>196</v>
      </c>
    </row>
    <row r="28" customFormat="false" ht="15" hidden="false" customHeight="false" outlineLevel="0" collapsed="false">
      <c r="B28" s="70" t="s">
        <v>197</v>
      </c>
      <c r="C28" s="76" t="n">
        <v>0.28</v>
      </c>
      <c r="D28" s="42" t="s">
        <v>198</v>
      </c>
      <c r="F28" s="38" t="s">
        <v>199</v>
      </c>
      <c r="G28" s="76" t="n">
        <v>0.45</v>
      </c>
      <c r="H28" s="42"/>
    </row>
    <row r="29" customFormat="false" ht="15" hidden="false" customHeight="false" outlineLevel="0" collapsed="false">
      <c r="B29" s="70" t="s">
        <v>200</v>
      </c>
      <c r="C29" s="76" t="n">
        <v>0.12</v>
      </c>
      <c r="D29" s="41" t="s">
        <v>201</v>
      </c>
      <c r="F29" s="38" t="s">
        <v>202</v>
      </c>
      <c r="G29" s="76" t="n">
        <v>0.35</v>
      </c>
      <c r="H29" s="42"/>
    </row>
    <row r="30" customFormat="false" ht="15" hidden="false" customHeight="false" outlineLevel="0" collapsed="false">
      <c r="B30" s="70" t="s">
        <v>203</v>
      </c>
      <c r="C30" s="76" t="n">
        <v>0.18</v>
      </c>
      <c r="D30" s="42"/>
      <c r="F30" s="38" t="s">
        <v>204</v>
      </c>
      <c r="G30" s="76" t="n">
        <v>0.2</v>
      </c>
      <c r="H30" s="42"/>
    </row>
    <row r="31" customFormat="false" ht="15" hidden="false" customHeight="false" outlineLevel="0" collapsed="false">
      <c r="F31" s="38" t="s">
        <v>205</v>
      </c>
      <c r="G31" s="76" t="n">
        <v>0.25</v>
      </c>
      <c r="H31" s="42" t="s">
        <v>206</v>
      </c>
    </row>
    <row r="32" customFormat="false" ht="15" hidden="false" customHeight="false" outlineLevel="0" collapsed="false">
      <c r="F32" s="38" t="s">
        <v>207</v>
      </c>
      <c r="G32" s="75" t="n">
        <v>3</v>
      </c>
      <c r="H32" s="42" t="s">
        <v>208</v>
      </c>
    </row>
    <row r="33" customFormat="false" ht="15" hidden="false" customHeight="false" outlineLevel="0" collapsed="false">
      <c r="F33" s="38" t="s">
        <v>209</v>
      </c>
      <c r="G33" s="75" t="n">
        <v>8</v>
      </c>
      <c r="H33" s="42" t="s">
        <v>210</v>
      </c>
    </row>
  </sheetData>
  <mergeCells count="6">
    <mergeCell ref="A1:I1"/>
    <mergeCell ref="A2:I2"/>
    <mergeCell ref="A4:E4"/>
    <mergeCell ref="F4:I4"/>
    <mergeCell ref="A11:E11"/>
    <mergeCell ref="F20:I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2026-02-22T13:55:10Z</dcterms:created>
  <dc:creator>openpyxl</dc:creator>
  <dc:description/>
  <dc:language>en-US</dc:language>
  <cp:lastModifiedBy/>
  <dcterms:modified xsi:type="dcterms:W3CDTF">2026-02-22T13:55:10Z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